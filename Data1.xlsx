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OneDrive - Indian Register Of Shipping\Desktop\TempNNLocal\"/>
    </mc:Choice>
  </mc:AlternateContent>
  <bookViews>
    <workbookView xWindow="0" yWindow="0" windowWidth="15615" windowHeight="9000"/>
  </bookViews>
  <sheets>
    <sheet name="CSR_VB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5" i="1" l="1"/>
  <c r="E505" i="1"/>
  <c r="G504" i="1"/>
  <c r="E504" i="1"/>
  <c r="G503" i="1"/>
  <c r="E503" i="1"/>
  <c r="G502" i="1"/>
  <c r="E502" i="1"/>
  <c r="G501" i="1"/>
  <c r="E501" i="1"/>
  <c r="G500" i="1"/>
  <c r="E500" i="1"/>
  <c r="G499" i="1"/>
  <c r="E499" i="1"/>
  <c r="G498" i="1"/>
  <c r="E498" i="1"/>
  <c r="G497" i="1"/>
  <c r="E497" i="1"/>
  <c r="G496" i="1"/>
  <c r="E496" i="1"/>
  <c r="G495" i="1"/>
  <c r="E495" i="1"/>
  <c r="G494" i="1"/>
  <c r="E494" i="1"/>
  <c r="G493" i="1"/>
  <c r="E493" i="1"/>
  <c r="G492" i="1"/>
  <c r="E492" i="1"/>
  <c r="G491" i="1"/>
  <c r="E491" i="1"/>
  <c r="G490" i="1"/>
  <c r="E490" i="1"/>
  <c r="G489" i="1"/>
  <c r="E489" i="1"/>
  <c r="G488" i="1"/>
  <c r="E488" i="1"/>
  <c r="G487" i="1"/>
  <c r="E487" i="1"/>
  <c r="G486" i="1"/>
  <c r="E486" i="1"/>
  <c r="G485" i="1"/>
  <c r="E485" i="1"/>
  <c r="G484" i="1"/>
  <c r="E484" i="1"/>
  <c r="G483" i="1"/>
  <c r="E483" i="1"/>
  <c r="G482" i="1"/>
  <c r="E482" i="1"/>
  <c r="G481" i="1"/>
  <c r="E481" i="1"/>
  <c r="G480" i="1"/>
  <c r="E480" i="1"/>
  <c r="G479" i="1"/>
  <c r="E479" i="1"/>
  <c r="G478" i="1"/>
  <c r="E478" i="1"/>
  <c r="G477" i="1"/>
  <c r="E477" i="1"/>
  <c r="G476" i="1"/>
  <c r="E476" i="1"/>
  <c r="G475" i="1"/>
  <c r="E475" i="1"/>
  <c r="G474" i="1"/>
  <c r="E474" i="1"/>
  <c r="G473" i="1"/>
  <c r="E473" i="1"/>
  <c r="G472" i="1"/>
  <c r="E472" i="1"/>
  <c r="G471" i="1"/>
  <c r="E471" i="1"/>
  <c r="G470" i="1"/>
  <c r="E470" i="1"/>
  <c r="G469" i="1"/>
  <c r="E469" i="1"/>
  <c r="G468" i="1"/>
  <c r="E468" i="1"/>
  <c r="G467" i="1"/>
  <c r="E467" i="1"/>
  <c r="G466" i="1"/>
  <c r="E466" i="1"/>
  <c r="G465" i="1"/>
  <c r="E465" i="1"/>
  <c r="G464" i="1"/>
  <c r="E464" i="1"/>
  <c r="G463" i="1"/>
  <c r="E463" i="1"/>
  <c r="G462" i="1"/>
  <c r="E462" i="1"/>
  <c r="G461" i="1"/>
  <c r="E461" i="1"/>
  <c r="G460" i="1"/>
  <c r="E460" i="1"/>
  <c r="G459" i="1"/>
  <c r="E459" i="1"/>
  <c r="G458" i="1"/>
  <c r="E458" i="1"/>
  <c r="G457" i="1"/>
  <c r="E457" i="1"/>
  <c r="G456" i="1"/>
  <c r="E456" i="1"/>
  <c r="G455" i="1"/>
  <c r="E455" i="1"/>
  <c r="G454" i="1"/>
  <c r="E454" i="1"/>
  <c r="G453" i="1"/>
  <c r="E453" i="1"/>
  <c r="G452" i="1"/>
  <c r="E452" i="1"/>
  <c r="G451" i="1"/>
  <c r="E451" i="1"/>
  <c r="G450" i="1"/>
  <c r="E450" i="1"/>
  <c r="G449" i="1"/>
  <c r="E449" i="1"/>
  <c r="G448" i="1"/>
  <c r="E448" i="1"/>
  <c r="G447" i="1"/>
  <c r="E447" i="1"/>
  <c r="G446" i="1"/>
  <c r="E446" i="1"/>
  <c r="G445" i="1"/>
  <c r="E445" i="1"/>
  <c r="G444" i="1"/>
  <c r="E444" i="1"/>
  <c r="G443" i="1"/>
  <c r="E443" i="1"/>
  <c r="G442" i="1"/>
  <c r="E442" i="1"/>
  <c r="G441" i="1"/>
  <c r="E441" i="1"/>
  <c r="G440" i="1"/>
  <c r="E440" i="1"/>
  <c r="G439" i="1"/>
  <c r="E439" i="1"/>
  <c r="G438" i="1"/>
  <c r="E438" i="1"/>
  <c r="G437" i="1"/>
  <c r="E437" i="1"/>
  <c r="G436" i="1"/>
  <c r="E436" i="1"/>
  <c r="G435" i="1"/>
  <c r="E435" i="1"/>
  <c r="G434" i="1"/>
  <c r="E434" i="1"/>
  <c r="G433" i="1"/>
  <c r="E433" i="1"/>
  <c r="G432" i="1"/>
  <c r="E432" i="1"/>
  <c r="G431" i="1"/>
  <c r="E431" i="1"/>
  <c r="G430" i="1"/>
  <c r="E430" i="1"/>
  <c r="G429" i="1"/>
  <c r="E429" i="1"/>
  <c r="G428" i="1"/>
  <c r="E428" i="1"/>
  <c r="G427" i="1"/>
  <c r="E427" i="1"/>
  <c r="G426" i="1"/>
  <c r="E426" i="1"/>
  <c r="G425" i="1"/>
  <c r="E425" i="1"/>
  <c r="G424" i="1"/>
  <c r="E424" i="1"/>
  <c r="G423" i="1"/>
  <c r="E423" i="1"/>
  <c r="G422" i="1"/>
  <c r="E422" i="1"/>
  <c r="G421" i="1"/>
  <c r="E421" i="1"/>
  <c r="G420" i="1"/>
  <c r="E420" i="1"/>
  <c r="G419" i="1"/>
  <c r="E419" i="1"/>
  <c r="G418" i="1"/>
  <c r="E418" i="1"/>
  <c r="G417" i="1"/>
  <c r="E417" i="1"/>
  <c r="G416" i="1"/>
  <c r="E416" i="1"/>
  <c r="G415" i="1"/>
  <c r="E415" i="1"/>
  <c r="G414" i="1"/>
  <c r="E414" i="1"/>
  <c r="G413" i="1"/>
  <c r="E413" i="1"/>
  <c r="G412" i="1"/>
  <c r="E412" i="1"/>
  <c r="G411" i="1"/>
  <c r="E411" i="1"/>
  <c r="G410" i="1"/>
  <c r="E410" i="1"/>
  <c r="G409" i="1"/>
  <c r="E409" i="1"/>
  <c r="G408" i="1"/>
  <c r="E408" i="1"/>
  <c r="G407" i="1"/>
  <c r="E407" i="1"/>
  <c r="G406" i="1"/>
  <c r="E406" i="1"/>
  <c r="G405" i="1"/>
  <c r="E405" i="1"/>
  <c r="G404" i="1"/>
  <c r="E404" i="1"/>
  <c r="G403" i="1"/>
  <c r="E403" i="1"/>
  <c r="G402" i="1"/>
  <c r="E402" i="1"/>
  <c r="G401" i="1"/>
  <c r="E401" i="1"/>
  <c r="G400" i="1"/>
  <c r="E400" i="1"/>
  <c r="G399" i="1"/>
  <c r="E399" i="1"/>
  <c r="G398" i="1"/>
  <c r="E398" i="1"/>
  <c r="G397" i="1"/>
  <c r="E397" i="1"/>
  <c r="G396" i="1"/>
  <c r="E396" i="1"/>
  <c r="G395" i="1"/>
  <c r="E395" i="1"/>
  <c r="G394" i="1"/>
  <c r="E394" i="1"/>
  <c r="G393" i="1"/>
  <c r="E393" i="1"/>
  <c r="G392" i="1"/>
  <c r="E392" i="1"/>
  <c r="G391" i="1"/>
  <c r="E391" i="1"/>
  <c r="G390" i="1"/>
  <c r="E390" i="1"/>
  <c r="G389" i="1"/>
  <c r="E389" i="1"/>
  <c r="G388" i="1"/>
  <c r="E388" i="1"/>
  <c r="G387" i="1"/>
  <c r="E387" i="1"/>
  <c r="G386" i="1"/>
  <c r="E386" i="1"/>
  <c r="G385" i="1"/>
  <c r="E385" i="1"/>
  <c r="G384" i="1"/>
  <c r="E384" i="1"/>
  <c r="G383" i="1"/>
  <c r="E383" i="1"/>
  <c r="G382" i="1"/>
  <c r="E382" i="1"/>
  <c r="G381" i="1"/>
  <c r="E381" i="1"/>
  <c r="G380" i="1"/>
  <c r="E380" i="1"/>
  <c r="G379" i="1"/>
  <c r="E379" i="1"/>
  <c r="G378" i="1"/>
  <c r="E378" i="1"/>
  <c r="G377" i="1"/>
  <c r="E377" i="1"/>
  <c r="G376" i="1"/>
  <c r="E376" i="1"/>
  <c r="G375" i="1"/>
  <c r="E375" i="1"/>
  <c r="G374" i="1"/>
  <c r="E374" i="1"/>
  <c r="G373" i="1"/>
  <c r="E373" i="1"/>
  <c r="G372" i="1"/>
  <c r="E372" i="1"/>
  <c r="G371" i="1"/>
  <c r="E371" i="1"/>
  <c r="G370" i="1"/>
  <c r="E370" i="1"/>
  <c r="G369" i="1"/>
  <c r="E369" i="1"/>
  <c r="G368" i="1"/>
  <c r="E368" i="1"/>
  <c r="G367" i="1"/>
  <c r="E367" i="1"/>
  <c r="G366" i="1"/>
  <c r="E366" i="1"/>
  <c r="G365" i="1"/>
  <c r="E365" i="1"/>
  <c r="G364" i="1"/>
  <c r="E364" i="1"/>
  <c r="G363" i="1"/>
  <c r="E363" i="1"/>
  <c r="G362" i="1"/>
  <c r="E362" i="1"/>
  <c r="G361" i="1"/>
  <c r="E361" i="1"/>
  <c r="G360" i="1"/>
  <c r="E360" i="1"/>
  <c r="G359" i="1"/>
  <c r="E359" i="1"/>
  <c r="G358" i="1"/>
  <c r="E358" i="1"/>
  <c r="G357" i="1"/>
  <c r="E357" i="1"/>
  <c r="G356" i="1"/>
  <c r="E356" i="1"/>
  <c r="G355" i="1"/>
  <c r="E355" i="1"/>
  <c r="G354" i="1"/>
  <c r="E354" i="1"/>
  <c r="G353" i="1"/>
  <c r="E353" i="1"/>
  <c r="G352" i="1"/>
  <c r="E352" i="1"/>
  <c r="G351" i="1"/>
  <c r="E351" i="1"/>
  <c r="G350" i="1"/>
  <c r="E350" i="1"/>
  <c r="G349" i="1"/>
  <c r="E349" i="1"/>
  <c r="G348" i="1"/>
  <c r="E348" i="1"/>
  <c r="G347" i="1"/>
  <c r="E347" i="1"/>
  <c r="G346" i="1"/>
  <c r="E346" i="1"/>
  <c r="G345" i="1"/>
  <c r="E345" i="1"/>
  <c r="G344" i="1"/>
  <c r="E344" i="1"/>
  <c r="G343" i="1"/>
  <c r="E343" i="1"/>
  <c r="G342" i="1"/>
  <c r="E342" i="1"/>
  <c r="G341" i="1"/>
  <c r="E341" i="1"/>
  <c r="G340" i="1"/>
  <c r="E340" i="1"/>
  <c r="G339" i="1"/>
  <c r="E339" i="1"/>
  <c r="G338" i="1"/>
  <c r="E338" i="1"/>
  <c r="G337" i="1"/>
  <c r="E337" i="1"/>
  <c r="G336" i="1"/>
  <c r="E336" i="1"/>
  <c r="G335" i="1"/>
  <c r="E335" i="1"/>
  <c r="G334" i="1"/>
  <c r="E334" i="1"/>
  <c r="G333" i="1"/>
  <c r="E333" i="1"/>
  <c r="G332" i="1"/>
  <c r="E332" i="1"/>
  <c r="G331" i="1"/>
  <c r="E331" i="1"/>
  <c r="G330" i="1"/>
  <c r="E330" i="1"/>
  <c r="G329" i="1"/>
  <c r="E329" i="1"/>
  <c r="G328" i="1"/>
  <c r="E328" i="1"/>
  <c r="G327" i="1"/>
  <c r="E327" i="1"/>
  <c r="G326" i="1"/>
  <c r="E326" i="1"/>
  <c r="G325" i="1"/>
  <c r="E325" i="1"/>
  <c r="G324" i="1"/>
  <c r="E324" i="1"/>
  <c r="G323" i="1"/>
  <c r="E323" i="1"/>
  <c r="G322" i="1"/>
  <c r="E322" i="1"/>
  <c r="G321" i="1"/>
  <c r="E321" i="1"/>
  <c r="G320" i="1"/>
  <c r="E320" i="1"/>
  <c r="G319" i="1"/>
  <c r="E319" i="1"/>
  <c r="G318" i="1"/>
  <c r="E318" i="1"/>
  <c r="G317" i="1"/>
  <c r="E317" i="1"/>
  <c r="G316" i="1"/>
  <c r="E316" i="1"/>
  <c r="G315" i="1"/>
  <c r="E315" i="1"/>
  <c r="G314" i="1"/>
  <c r="E314" i="1"/>
  <c r="G313" i="1"/>
  <c r="E313" i="1"/>
  <c r="G312" i="1"/>
  <c r="E312" i="1"/>
  <c r="G311" i="1"/>
  <c r="E311" i="1"/>
  <c r="G310" i="1"/>
  <c r="E310" i="1"/>
  <c r="A310" i="1"/>
  <c r="G309" i="1"/>
  <c r="E309" i="1"/>
  <c r="G308" i="1"/>
  <c r="E308" i="1"/>
  <c r="J307" i="1"/>
  <c r="H307" i="1"/>
  <c r="G307" i="1"/>
  <c r="E307" i="1"/>
  <c r="G306" i="1"/>
  <c r="E306" i="1"/>
  <c r="G305" i="1"/>
  <c r="E305" i="1"/>
  <c r="A305" i="1"/>
  <c r="G304" i="1"/>
  <c r="E304" i="1"/>
  <c r="G303" i="1"/>
  <c r="E303" i="1"/>
  <c r="G302" i="1"/>
  <c r="E302" i="1"/>
  <c r="A302" i="1"/>
  <c r="G301" i="1"/>
  <c r="E301" i="1"/>
  <c r="G300" i="1"/>
  <c r="E300" i="1"/>
  <c r="G299" i="1"/>
  <c r="E299" i="1"/>
  <c r="G298" i="1"/>
  <c r="E298" i="1"/>
  <c r="G297" i="1"/>
  <c r="E297" i="1"/>
  <c r="A297" i="1"/>
  <c r="G296" i="1"/>
  <c r="E296" i="1"/>
  <c r="J295" i="1"/>
  <c r="I295" i="1"/>
  <c r="G295" i="1"/>
  <c r="E295" i="1"/>
  <c r="B295" i="1"/>
  <c r="G294" i="1"/>
  <c r="E294" i="1"/>
  <c r="G293" i="1"/>
  <c r="E293" i="1"/>
  <c r="G292" i="1"/>
  <c r="E292" i="1"/>
  <c r="G291" i="1"/>
  <c r="E291" i="1"/>
  <c r="G290" i="1"/>
  <c r="E290" i="1"/>
  <c r="G289" i="1"/>
  <c r="E289" i="1"/>
  <c r="B289" i="1"/>
  <c r="A289" i="1"/>
  <c r="G288" i="1"/>
  <c r="E288" i="1"/>
  <c r="A288" i="1"/>
  <c r="J287" i="1"/>
  <c r="I287" i="1"/>
  <c r="H287" i="1"/>
  <c r="G287" i="1"/>
  <c r="E287" i="1"/>
  <c r="B287" i="1"/>
  <c r="A287" i="1"/>
  <c r="A311" i="1" s="1"/>
  <c r="A335" i="1" s="1"/>
  <c r="G286" i="1"/>
  <c r="E286" i="1"/>
  <c r="A286" i="1"/>
  <c r="B286" i="1" s="1"/>
  <c r="J285" i="1"/>
  <c r="I285" i="1"/>
  <c r="G285" i="1"/>
  <c r="E285" i="1"/>
  <c r="A285" i="1"/>
  <c r="G284" i="1"/>
  <c r="E284" i="1"/>
  <c r="A284" i="1"/>
  <c r="H284" i="1" s="1"/>
  <c r="J283" i="1"/>
  <c r="I283" i="1"/>
  <c r="H283" i="1"/>
  <c r="K283" i="1" s="1"/>
  <c r="G283" i="1"/>
  <c r="E283" i="1"/>
  <c r="A283" i="1"/>
  <c r="A307" i="1" s="1"/>
  <c r="G282" i="1"/>
  <c r="E282" i="1"/>
  <c r="A282" i="1"/>
  <c r="J282" i="1" s="1"/>
  <c r="G281" i="1"/>
  <c r="E281" i="1"/>
  <c r="A281" i="1"/>
  <c r="B281" i="1" s="1"/>
  <c r="G280" i="1"/>
  <c r="E280" i="1"/>
  <c r="A280" i="1"/>
  <c r="A304" i="1" s="1"/>
  <c r="G279" i="1"/>
  <c r="E279" i="1"/>
  <c r="A279" i="1"/>
  <c r="J278" i="1"/>
  <c r="I278" i="1"/>
  <c r="H278" i="1"/>
  <c r="K278" i="1" s="1"/>
  <c r="G278" i="1"/>
  <c r="L278" i="1" s="1"/>
  <c r="E278" i="1"/>
  <c r="B278" i="1"/>
  <c r="A278" i="1"/>
  <c r="G277" i="1"/>
  <c r="E277" i="1"/>
  <c r="B277" i="1"/>
  <c r="A277" i="1"/>
  <c r="J277" i="1" s="1"/>
  <c r="J276" i="1"/>
  <c r="G276" i="1"/>
  <c r="E276" i="1"/>
  <c r="A276" i="1"/>
  <c r="I276" i="1" s="1"/>
  <c r="G275" i="1"/>
  <c r="E275" i="1"/>
  <c r="A275" i="1"/>
  <c r="I275" i="1" s="1"/>
  <c r="G274" i="1"/>
  <c r="E274" i="1"/>
  <c r="A274" i="1"/>
  <c r="J274" i="1" s="1"/>
  <c r="J273" i="1"/>
  <c r="I273" i="1"/>
  <c r="H273" i="1"/>
  <c r="K273" i="1" s="1"/>
  <c r="G273" i="1"/>
  <c r="L273" i="1" s="1"/>
  <c r="E273" i="1"/>
  <c r="A273" i="1"/>
  <c r="B273" i="1" s="1"/>
  <c r="G272" i="1"/>
  <c r="E272" i="1"/>
  <c r="B272" i="1"/>
  <c r="A272" i="1"/>
  <c r="A296" i="1" s="1"/>
  <c r="J271" i="1"/>
  <c r="G271" i="1"/>
  <c r="E271" i="1"/>
  <c r="A271" i="1"/>
  <c r="A295" i="1" s="1"/>
  <c r="G270" i="1"/>
  <c r="E270" i="1"/>
  <c r="A270" i="1"/>
  <c r="A294" i="1" s="1"/>
  <c r="G269" i="1"/>
  <c r="E269" i="1"/>
  <c r="B269" i="1"/>
  <c r="A269" i="1"/>
  <c r="J269" i="1" s="1"/>
  <c r="J268" i="1"/>
  <c r="I268" i="1"/>
  <c r="H268" i="1"/>
  <c r="K268" i="1" s="1"/>
  <c r="G268" i="1"/>
  <c r="E268" i="1"/>
  <c r="A268" i="1"/>
  <c r="B268" i="1" s="1"/>
  <c r="G267" i="1"/>
  <c r="E267" i="1"/>
  <c r="B267" i="1"/>
  <c r="A267" i="1"/>
  <c r="A291" i="1" s="1"/>
  <c r="J291" i="1" s="1"/>
  <c r="G266" i="1"/>
  <c r="E266" i="1"/>
  <c r="B266" i="1"/>
  <c r="A266" i="1"/>
  <c r="J266" i="1" s="1"/>
  <c r="A27" i="1"/>
  <c r="A28" i="1"/>
  <c r="A29" i="1"/>
  <c r="A30" i="1"/>
  <c r="A31" i="1"/>
  <c r="A32" i="1"/>
  <c r="A33" i="1"/>
  <c r="A34" i="1"/>
  <c r="A35" i="1"/>
  <c r="A59" i="1" s="1"/>
  <c r="A36" i="1"/>
  <c r="A60" i="1" s="1"/>
  <c r="A37" i="1"/>
  <c r="A61" i="1" s="1"/>
  <c r="A38" i="1"/>
  <c r="A62" i="1" s="1"/>
  <c r="A39" i="1"/>
  <c r="J39" i="1" s="1"/>
  <c r="A40" i="1"/>
  <c r="J40" i="1" s="1"/>
  <c r="A41" i="1"/>
  <c r="A42" i="1"/>
  <c r="A43" i="1"/>
  <c r="A44" i="1"/>
  <c r="A45" i="1"/>
  <c r="A46" i="1"/>
  <c r="A47" i="1"/>
  <c r="A48" i="1"/>
  <c r="A49" i="1"/>
  <c r="A50" i="1"/>
  <c r="A51" i="1"/>
  <c r="A75" i="1" s="1"/>
  <c r="A52" i="1"/>
  <c r="A76" i="1" s="1"/>
  <c r="A53" i="1"/>
  <c r="A77" i="1" s="1"/>
  <c r="A54" i="1"/>
  <c r="A78" i="1" s="1"/>
  <c r="A55" i="1"/>
  <c r="A79" i="1" s="1"/>
  <c r="A56" i="1"/>
  <c r="J56" i="1" s="1"/>
  <c r="K56" i="1" s="1"/>
  <c r="A57" i="1"/>
  <c r="H57" i="1" s="1"/>
  <c r="A58" i="1"/>
  <c r="A67" i="1"/>
  <c r="A91" i="1" s="1"/>
  <c r="A68" i="1"/>
  <c r="A92" i="1" s="1"/>
  <c r="A69" i="1"/>
  <c r="A93" i="1" s="1"/>
  <c r="A70" i="1"/>
  <c r="A94" i="1" s="1"/>
  <c r="A71" i="1"/>
  <c r="A95" i="1" s="1"/>
  <c r="A72" i="1"/>
  <c r="J72" i="1" s="1"/>
  <c r="A73" i="1"/>
  <c r="A74" i="1"/>
  <c r="A2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53" i="1"/>
  <c r="L54" i="1"/>
  <c r="L69" i="1"/>
  <c r="L2" i="1"/>
  <c r="J3" i="1"/>
  <c r="J4" i="1"/>
  <c r="J5" i="1"/>
  <c r="J6" i="1"/>
  <c r="J7" i="1"/>
  <c r="J8" i="1"/>
  <c r="K8" i="1" s="1"/>
  <c r="J9" i="1"/>
  <c r="J10" i="1"/>
  <c r="J11" i="1"/>
  <c r="K11" i="1" s="1"/>
  <c r="J12" i="1"/>
  <c r="K12" i="1" s="1"/>
  <c r="J13" i="1"/>
  <c r="K13" i="1" s="1"/>
  <c r="J14" i="1"/>
  <c r="J15" i="1"/>
  <c r="J16" i="1"/>
  <c r="J17" i="1"/>
  <c r="K17" i="1" s="1"/>
  <c r="J18" i="1"/>
  <c r="K18" i="1" s="1"/>
  <c r="J19" i="1"/>
  <c r="J20" i="1"/>
  <c r="J21" i="1"/>
  <c r="J22" i="1"/>
  <c r="J23" i="1"/>
  <c r="J24" i="1"/>
  <c r="K24" i="1" s="1"/>
  <c r="J25" i="1"/>
  <c r="J26" i="1"/>
  <c r="J27" i="1"/>
  <c r="J28" i="1"/>
  <c r="J29" i="1"/>
  <c r="J30" i="1"/>
  <c r="J31" i="1"/>
  <c r="J32" i="1"/>
  <c r="J33" i="1"/>
  <c r="K33" i="1" s="1"/>
  <c r="J34" i="1"/>
  <c r="K34" i="1" s="1"/>
  <c r="J35" i="1"/>
  <c r="J36" i="1"/>
  <c r="J37" i="1"/>
  <c r="J38" i="1"/>
  <c r="J43" i="1"/>
  <c r="J44" i="1"/>
  <c r="J45" i="1"/>
  <c r="J46" i="1"/>
  <c r="J47" i="1"/>
  <c r="J48" i="1"/>
  <c r="J49" i="1"/>
  <c r="K49" i="1" s="1"/>
  <c r="J51" i="1"/>
  <c r="J52" i="1"/>
  <c r="J53" i="1"/>
  <c r="J54" i="1"/>
  <c r="J55" i="1"/>
  <c r="J67" i="1"/>
  <c r="J68" i="1"/>
  <c r="J69" i="1"/>
  <c r="J70" i="1"/>
  <c r="J71" i="1"/>
  <c r="J2" i="1"/>
  <c r="K3" i="1"/>
  <c r="K4" i="1"/>
  <c r="K5" i="1"/>
  <c r="K6" i="1"/>
  <c r="K7" i="1"/>
  <c r="K9" i="1"/>
  <c r="K10" i="1"/>
  <c r="K14" i="1"/>
  <c r="K15" i="1"/>
  <c r="K16" i="1"/>
  <c r="K19" i="1"/>
  <c r="K20" i="1"/>
  <c r="K21" i="1"/>
  <c r="K22" i="1"/>
  <c r="K23" i="1"/>
  <c r="K25" i="1"/>
  <c r="K26" i="1"/>
  <c r="L26" i="1" s="1"/>
  <c r="K35" i="1"/>
  <c r="K51" i="1"/>
  <c r="K52" i="1"/>
  <c r="L52" i="1" s="1"/>
  <c r="K54" i="1"/>
  <c r="M54" i="1" s="1"/>
  <c r="K55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K30" i="1" s="1"/>
  <c r="I30" i="1"/>
  <c r="H31" i="1"/>
  <c r="K31" i="1" s="1"/>
  <c r="I31" i="1"/>
  <c r="H32" i="1"/>
  <c r="K32" i="1" s="1"/>
  <c r="I32" i="1"/>
  <c r="H33" i="1"/>
  <c r="I33" i="1"/>
  <c r="H34" i="1"/>
  <c r="I34" i="1"/>
  <c r="H35" i="1"/>
  <c r="I35" i="1"/>
  <c r="H36" i="1"/>
  <c r="K36" i="1" s="1"/>
  <c r="I36" i="1"/>
  <c r="H37" i="1"/>
  <c r="I37" i="1"/>
  <c r="H38" i="1"/>
  <c r="K38" i="1" s="1"/>
  <c r="I38" i="1"/>
  <c r="H39" i="1"/>
  <c r="I39" i="1"/>
  <c r="H40" i="1"/>
  <c r="I40" i="1"/>
  <c r="H43" i="1"/>
  <c r="I43" i="1"/>
  <c r="H44" i="1"/>
  <c r="I44" i="1"/>
  <c r="H45" i="1"/>
  <c r="I45" i="1"/>
  <c r="H46" i="1"/>
  <c r="K46" i="1" s="1"/>
  <c r="I46" i="1"/>
  <c r="H47" i="1"/>
  <c r="I47" i="1"/>
  <c r="H48" i="1"/>
  <c r="I48" i="1"/>
  <c r="H49" i="1"/>
  <c r="I49" i="1"/>
  <c r="H50" i="1"/>
  <c r="H51" i="1"/>
  <c r="I51" i="1"/>
  <c r="H52" i="1"/>
  <c r="I52" i="1"/>
  <c r="H53" i="1"/>
  <c r="I53" i="1"/>
  <c r="K53" i="1" s="1"/>
  <c r="H54" i="1"/>
  <c r="I54" i="1"/>
  <c r="H55" i="1"/>
  <c r="I55" i="1"/>
  <c r="H56" i="1"/>
  <c r="I56" i="1"/>
  <c r="I61" i="1"/>
  <c r="I62" i="1"/>
  <c r="H67" i="1"/>
  <c r="K67" i="1" s="1"/>
  <c r="I67" i="1"/>
  <c r="H68" i="1"/>
  <c r="K68" i="1" s="1"/>
  <c r="I68" i="1"/>
  <c r="H69" i="1"/>
  <c r="K69" i="1" s="1"/>
  <c r="M69" i="1" s="1"/>
  <c r="I69" i="1"/>
  <c r="H70" i="1"/>
  <c r="I70" i="1"/>
  <c r="H71" i="1"/>
  <c r="I71" i="1"/>
  <c r="H72" i="1"/>
  <c r="I72" i="1"/>
  <c r="H94" i="1"/>
  <c r="H95" i="1"/>
  <c r="I95" i="1"/>
  <c r="K2" i="1"/>
  <c r="I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" i="1"/>
  <c r="B95" i="1"/>
  <c r="B94" i="1"/>
  <c r="B93" i="1"/>
  <c r="B92" i="1"/>
  <c r="B91" i="1"/>
  <c r="B79" i="1"/>
  <c r="B78" i="1"/>
  <c r="B77" i="1"/>
  <c r="B76" i="1"/>
  <c r="B75" i="1"/>
  <c r="B74" i="1"/>
  <c r="B73" i="1"/>
  <c r="B72" i="1"/>
  <c r="B71" i="1"/>
  <c r="B70" i="1"/>
  <c r="B69" i="1"/>
  <c r="B68" i="1"/>
  <c r="M68" i="1" s="1"/>
  <c r="B67" i="1"/>
  <c r="M67" i="1" s="1"/>
  <c r="B62" i="1"/>
  <c r="B61" i="1"/>
  <c r="B60" i="1"/>
  <c r="B59" i="1"/>
  <c r="B58" i="1"/>
  <c r="B56" i="1"/>
  <c r="B55" i="1"/>
  <c r="B54" i="1"/>
  <c r="B53" i="1"/>
  <c r="B52" i="1"/>
  <c r="B51" i="1"/>
  <c r="M51" i="1" s="1"/>
  <c r="B50" i="1"/>
  <c r="B49" i="1"/>
  <c r="B48" i="1"/>
  <c r="B47" i="1"/>
  <c r="B46" i="1"/>
  <c r="B45" i="1"/>
  <c r="B44" i="1"/>
  <c r="B43" i="1"/>
  <c r="B42" i="1"/>
  <c r="B40" i="1"/>
  <c r="B39" i="1"/>
  <c r="B38" i="1"/>
  <c r="B37" i="1"/>
  <c r="B36" i="1"/>
  <c r="L36" i="1" s="1"/>
  <c r="B35" i="1"/>
  <c r="B34" i="1"/>
  <c r="M34" i="1" s="1"/>
  <c r="B33" i="1"/>
  <c r="B32" i="1"/>
  <c r="B31" i="1"/>
  <c r="B30" i="1"/>
  <c r="B29" i="1"/>
  <c r="B28" i="1"/>
  <c r="B27" i="1"/>
  <c r="B26" i="1"/>
  <c r="J50" i="1"/>
  <c r="I74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5" i="1"/>
  <c r="B4" i="1"/>
  <c r="B7" i="1"/>
  <c r="B3" i="1"/>
  <c r="B6" i="1"/>
  <c r="B2" i="1"/>
  <c r="L285" i="1" l="1"/>
  <c r="A318" i="1"/>
  <c r="H294" i="1"/>
  <c r="B294" i="1"/>
  <c r="I294" i="1"/>
  <c r="J294" i="1"/>
  <c r="L275" i="1"/>
  <c r="L287" i="1"/>
  <c r="J296" i="1"/>
  <c r="B296" i="1"/>
  <c r="I296" i="1"/>
  <c r="H296" i="1"/>
  <c r="K296" i="1" s="1"/>
  <c r="A320" i="1"/>
  <c r="M268" i="1"/>
  <c r="L268" i="1"/>
  <c r="I305" i="1"/>
  <c r="A329" i="1"/>
  <c r="B270" i="1"/>
  <c r="B275" i="1"/>
  <c r="B280" i="1"/>
  <c r="B305" i="1"/>
  <c r="A313" i="1"/>
  <c r="H289" i="1"/>
  <c r="K289" i="1" s="1"/>
  <c r="M289" i="1" s="1"/>
  <c r="A301" i="1"/>
  <c r="J304" i="1"/>
  <c r="I304" i="1"/>
  <c r="A359" i="1"/>
  <c r="J335" i="1"/>
  <c r="J311" i="1"/>
  <c r="B297" i="1"/>
  <c r="I297" i="1"/>
  <c r="A299" i="1"/>
  <c r="H270" i="1"/>
  <c r="H275" i="1"/>
  <c r="K275" i="1" s="1"/>
  <c r="M275" i="1" s="1"/>
  <c r="H280" i="1"/>
  <c r="B282" i="1"/>
  <c r="K287" i="1"/>
  <c r="M287" i="1" s="1"/>
  <c r="B291" i="1"/>
  <c r="A293" i="1"/>
  <c r="H305" i="1"/>
  <c r="J305" i="1"/>
  <c r="I310" i="1"/>
  <c r="A334" i="1"/>
  <c r="H310" i="1"/>
  <c r="K310" i="1" s="1"/>
  <c r="H267" i="1"/>
  <c r="K267" i="1" s="1"/>
  <c r="L267" i="1" s="1"/>
  <c r="J270" i="1"/>
  <c r="M273" i="1"/>
  <c r="J275" i="1"/>
  <c r="M278" i="1"/>
  <c r="J280" i="1"/>
  <c r="B284" i="1"/>
  <c r="I289" i="1"/>
  <c r="H297" i="1"/>
  <c r="A308" i="1"/>
  <c r="B310" i="1"/>
  <c r="I270" i="1"/>
  <c r="I267" i="1"/>
  <c r="A303" i="1"/>
  <c r="I279" i="1"/>
  <c r="H282" i="1"/>
  <c r="J289" i="1"/>
  <c r="H291" i="1"/>
  <c r="K291" i="1" s="1"/>
  <c r="M291" i="1" s="1"/>
  <c r="J297" i="1"/>
  <c r="A306" i="1"/>
  <c r="M310" i="1"/>
  <c r="A315" i="1"/>
  <c r="J267" i="1"/>
  <c r="H272" i="1"/>
  <c r="B274" i="1"/>
  <c r="H277" i="1"/>
  <c r="B279" i="1"/>
  <c r="I282" i="1"/>
  <c r="I291" i="1"/>
  <c r="I272" i="1"/>
  <c r="I277" i="1"/>
  <c r="I284" i="1"/>
  <c r="K284" i="1" s="1"/>
  <c r="J288" i="1"/>
  <c r="A312" i="1"/>
  <c r="B304" i="1"/>
  <c r="J310" i="1"/>
  <c r="I280" i="1"/>
  <c r="H269" i="1"/>
  <c r="A319" i="1"/>
  <c r="H295" i="1"/>
  <c r="K295" i="1" s="1"/>
  <c r="L295" i="1" s="1"/>
  <c r="J272" i="1"/>
  <c r="J284" i="1"/>
  <c r="H286" i="1"/>
  <c r="K286" i="1" s="1"/>
  <c r="L286" i="1" s="1"/>
  <c r="B288" i="1"/>
  <c r="A298" i="1"/>
  <c r="A300" i="1"/>
  <c r="B302" i="1"/>
  <c r="I302" i="1"/>
  <c r="B335" i="1"/>
  <c r="I269" i="1"/>
  <c r="B271" i="1"/>
  <c r="H274" i="1"/>
  <c r="B276" i="1"/>
  <c r="H279" i="1"/>
  <c r="I286" i="1"/>
  <c r="A290" i="1"/>
  <c r="B311" i="1"/>
  <c r="H266" i="1"/>
  <c r="I274" i="1"/>
  <c r="J279" i="1"/>
  <c r="B307" i="1"/>
  <c r="I307" i="1"/>
  <c r="K307" i="1" s="1"/>
  <c r="J286" i="1"/>
  <c r="A292" i="1"/>
  <c r="H304" i="1"/>
  <c r="A328" i="1"/>
  <c r="I266" i="1"/>
  <c r="H281" i="1"/>
  <c r="B283" i="1"/>
  <c r="L283" i="1" s="1"/>
  <c r="H288" i="1"/>
  <c r="H302" i="1"/>
  <c r="A321" i="1"/>
  <c r="H335" i="1"/>
  <c r="H271" i="1"/>
  <c r="H276" i="1"/>
  <c r="K276" i="1" s="1"/>
  <c r="I281" i="1"/>
  <c r="H285" i="1"/>
  <c r="K285" i="1" s="1"/>
  <c r="A309" i="1"/>
  <c r="I288" i="1"/>
  <c r="J302" i="1"/>
  <c r="H311" i="1"/>
  <c r="A326" i="1"/>
  <c r="I335" i="1"/>
  <c r="I271" i="1"/>
  <c r="J281" i="1"/>
  <c r="B285" i="1"/>
  <c r="M285" i="1" s="1"/>
  <c r="I311" i="1"/>
  <c r="A331" i="1"/>
  <c r="L30" i="1"/>
  <c r="M30" i="1"/>
  <c r="L32" i="1"/>
  <c r="M32" i="1"/>
  <c r="L31" i="1"/>
  <c r="M31" i="1"/>
  <c r="K39" i="1"/>
  <c r="L56" i="1"/>
  <c r="M56" i="1"/>
  <c r="K40" i="1"/>
  <c r="H42" i="1"/>
  <c r="J42" i="1"/>
  <c r="I42" i="1"/>
  <c r="A66" i="1"/>
  <c r="H41" i="1"/>
  <c r="K41" i="1" s="1"/>
  <c r="I41" i="1"/>
  <c r="J41" i="1"/>
  <c r="A65" i="1"/>
  <c r="K71" i="1"/>
  <c r="L51" i="1"/>
  <c r="J79" i="1"/>
  <c r="A103" i="1"/>
  <c r="K48" i="1"/>
  <c r="L38" i="1"/>
  <c r="M38" i="1"/>
  <c r="L35" i="1"/>
  <c r="J78" i="1"/>
  <c r="I78" i="1"/>
  <c r="A102" i="1"/>
  <c r="J62" i="1"/>
  <c r="H62" i="1"/>
  <c r="K62" i="1" s="1"/>
  <c r="A86" i="1"/>
  <c r="K70" i="1"/>
  <c r="M52" i="1"/>
  <c r="J77" i="1"/>
  <c r="H77" i="1"/>
  <c r="I77" i="1"/>
  <c r="A101" i="1"/>
  <c r="J61" i="1"/>
  <c r="H61" i="1"/>
  <c r="A85" i="1"/>
  <c r="K47" i="1"/>
  <c r="K37" i="1"/>
  <c r="J76" i="1"/>
  <c r="H76" i="1"/>
  <c r="I76" i="1"/>
  <c r="A100" i="1"/>
  <c r="J60" i="1"/>
  <c r="H60" i="1"/>
  <c r="I60" i="1"/>
  <c r="A84" i="1"/>
  <c r="M35" i="1"/>
  <c r="J75" i="1"/>
  <c r="H75" i="1"/>
  <c r="I75" i="1"/>
  <c r="A99" i="1"/>
  <c r="J59" i="1"/>
  <c r="H59" i="1"/>
  <c r="I59" i="1"/>
  <c r="A83" i="1"/>
  <c r="L46" i="1"/>
  <c r="M46" i="1"/>
  <c r="M36" i="1"/>
  <c r="L34" i="1"/>
  <c r="H74" i="1"/>
  <c r="A98" i="1"/>
  <c r="A122" i="1" s="1"/>
  <c r="A146" i="1" s="1"/>
  <c r="A170" i="1" s="1"/>
  <c r="L68" i="1"/>
  <c r="L33" i="1"/>
  <c r="I73" i="1"/>
  <c r="J73" i="1"/>
  <c r="A97" i="1"/>
  <c r="M53" i="1"/>
  <c r="K72" i="1"/>
  <c r="K94" i="1"/>
  <c r="L55" i="1"/>
  <c r="M55" i="1"/>
  <c r="I57" i="1"/>
  <c r="K57" i="1" s="1"/>
  <c r="J57" i="1"/>
  <c r="A81" i="1"/>
  <c r="L67" i="1"/>
  <c r="J95" i="1"/>
  <c r="A119" i="1"/>
  <c r="I79" i="1"/>
  <c r="J94" i="1"/>
  <c r="I94" i="1"/>
  <c r="A118" i="1"/>
  <c r="H79" i="1"/>
  <c r="K79" i="1" s="1"/>
  <c r="L49" i="1"/>
  <c r="J93" i="1"/>
  <c r="H93" i="1"/>
  <c r="I93" i="1"/>
  <c r="A117" i="1"/>
  <c r="H78" i="1"/>
  <c r="K78" i="1" s="1"/>
  <c r="J92" i="1"/>
  <c r="H92" i="1"/>
  <c r="I92" i="1"/>
  <c r="A116" i="1"/>
  <c r="H58" i="1"/>
  <c r="J58" i="1"/>
  <c r="I58" i="1"/>
  <c r="A82" i="1"/>
  <c r="B41" i="1"/>
  <c r="B57" i="1"/>
  <c r="K95" i="1"/>
  <c r="H73" i="1"/>
  <c r="K73" i="1" s="1"/>
  <c r="J91" i="1"/>
  <c r="H91" i="1"/>
  <c r="I91" i="1"/>
  <c r="A115" i="1"/>
  <c r="M49" i="1"/>
  <c r="M33" i="1"/>
  <c r="K45" i="1"/>
  <c r="K29" i="1"/>
  <c r="K44" i="1"/>
  <c r="K28" i="1"/>
  <c r="A96" i="1"/>
  <c r="A80" i="1"/>
  <c r="A64" i="1"/>
  <c r="K43" i="1"/>
  <c r="K27" i="1"/>
  <c r="A63" i="1"/>
  <c r="B122" i="1"/>
  <c r="B170" i="1"/>
  <c r="J170" i="1"/>
  <c r="J122" i="1"/>
  <c r="J74" i="1"/>
  <c r="K74" i="1" s="1"/>
  <c r="M26" i="1"/>
  <c r="B98" i="1"/>
  <c r="B146" i="1"/>
  <c r="I170" i="1"/>
  <c r="I146" i="1"/>
  <c r="I122" i="1"/>
  <c r="I98" i="1"/>
  <c r="I50" i="1"/>
  <c r="K50" i="1" s="1"/>
  <c r="H98" i="1"/>
  <c r="J146" i="1"/>
  <c r="J98" i="1"/>
  <c r="L307" i="1" l="1"/>
  <c r="M307" i="1"/>
  <c r="L284" i="1"/>
  <c r="M284" i="1"/>
  <c r="A344" i="1"/>
  <c r="J320" i="1"/>
  <c r="I320" i="1"/>
  <c r="H320" i="1"/>
  <c r="B320" i="1"/>
  <c r="M296" i="1"/>
  <c r="L296" i="1"/>
  <c r="M286" i="1"/>
  <c r="K281" i="1"/>
  <c r="K271" i="1"/>
  <c r="A343" i="1"/>
  <c r="H319" i="1"/>
  <c r="K319" i="1" s="1"/>
  <c r="J319" i="1"/>
  <c r="I319" i="1"/>
  <c r="B319" i="1"/>
  <c r="M267" i="1"/>
  <c r="M276" i="1"/>
  <c r="L276" i="1"/>
  <c r="K305" i="1"/>
  <c r="J313" i="1"/>
  <c r="I313" i="1"/>
  <c r="H313" i="1"/>
  <c r="K313" i="1" s="1"/>
  <c r="B313" i="1"/>
  <c r="A337" i="1"/>
  <c r="L289" i="1"/>
  <c r="L291" i="1"/>
  <c r="H293" i="1"/>
  <c r="K293" i="1" s="1"/>
  <c r="A317" i="1"/>
  <c r="J293" i="1"/>
  <c r="I293" i="1"/>
  <c r="B293" i="1"/>
  <c r="A383" i="1"/>
  <c r="B359" i="1"/>
  <c r="J359" i="1"/>
  <c r="I359" i="1"/>
  <c r="H359" i="1"/>
  <c r="M295" i="1"/>
  <c r="H301" i="1"/>
  <c r="B301" i="1"/>
  <c r="A325" i="1"/>
  <c r="J301" i="1"/>
  <c r="I301" i="1"/>
  <c r="K335" i="1"/>
  <c r="K282" i="1"/>
  <c r="J306" i="1"/>
  <c r="I306" i="1"/>
  <c r="H306" i="1"/>
  <c r="K306" i="1" s="1"/>
  <c r="A330" i="1"/>
  <c r="B306" i="1"/>
  <c r="K277" i="1"/>
  <c r="K266" i="1"/>
  <c r="K297" i="1"/>
  <c r="A350" i="1"/>
  <c r="H326" i="1"/>
  <c r="B326" i="1"/>
  <c r="J326" i="1"/>
  <c r="I326" i="1"/>
  <c r="A352" i="1"/>
  <c r="J328" i="1"/>
  <c r="B328" i="1"/>
  <c r="H328" i="1"/>
  <c r="I328" i="1"/>
  <c r="A355" i="1"/>
  <c r="H331" i="1"/>
  <c r="B331" i="1"/>
  <c r="J331" i="1"/>
  <c r="I331" i="1"/>
  <c r="A345" i="1"/>
  <c r="H321" i="1"/>
  <c r="B321" i="1"/>
  <c r="I321" i="1"/>
  <c r="J321" i="1"/>
  <c r="A314" i="1"/>
  <c r="H290" i="1"/>
  <c r="B290" i="1"/>
  <c r="I290" i="1"/>
  <c r="J290" i="1"/>
  <c r="A327" i="1"/>
  <c r="J303" i="1"/>
  <c r="I303" i="1"/>
  <c r="H303" i="1"/>
  <c r="K303" i="1" s="1"/>
  <c r="B303" i="1"/>
  <c r="J308" i="1"/>
  <c r="I308" i="1"/>
  <c r="H308" i="1"/>
  <c r="K308" i="1" s="1"/>
  <c r="B308" i="1"/>
  <c r="A332" i="1"/>
  <c r="K304" i="1"/>
  <c r="K272" i="1"/>
  <c r="K280" i="1"/>
  <c r="B329" i="1"/>
  <c r="A353" i="1"/>
  <c r="I329" i="1"/>
  <c r="J329" i="1"/>
  <c r="H329" i="1"/>
  <c r="K329" i="1" s="1"/>
  <c r="K294" i="1"/>
  <c r="J312" i="1"/>
  <c r="A336" i="1"/>
  <c r="H312" i="1"/>
  <c r="B312" i="1"/>
  <c r="I312" i="1"/>
  <c r="K269" i="1"/>
  <c r="K302" i="1"/>
  <c r="K279" i="1"/>
  <c r="A324" i="1"/>
  <c r="H300" i="1"/>
  <c r="J300" i="1"/>
  <c r="I300" i="1"/>
  <c r="B300" i="1"/>
  <c r="L310" i="1"/>
  <c r="M283" i="1"/>
  <c r="I318" i="1"/>
  <c r="H318" i="1"/>
  <c r="B318" i="1"/>
  <c r="A342" i="1"/>
  <c r="J318" i="1"/>
  <c r="H309" i="1"/>
  <c r="J309" i="1"/>
  <c r="B309" i="1"/>
  <c r="A333" i="1"/>
  <c r="I309" i="1"/>
  <c r="A316" i="1"/>
  <c r="H292" i="1"/>
  <c r="K292" i="1" s="1"/>
  <c r="B292" i="1"/>
  <c r="J292" i="1"/>
  <c r="I292" i="1"/>
  <c r="I298" i="1"/>
  <c r="H298" i="1"/>
  <c r="B298" i="1"/>
  <c r="A322" i="1"/>
  <c r="J298" i="1"/>
  <c r="B334" i="1"/>
  <c r="I334" i="1"/>
  <c r="A358" i="1"/>
  <c r="J334" i="1"/>
  <c r="H334" i="1"/>
  <c r="K334" i="1" s="1"/>
  <c r="K270" i="1"/>
  <c r="A323" i="1"/>
  <c r="H299" i="1"/>
  <c r="K299" i="1" s="1"/>
  <c r="B299" i="1"/>
  <c r="J299" i="1"/>
  <c r="I299" i="1"/>
  <c r="I315" i="1"/>
  <c r="H315" i="1"/>
  <c r="A339" i="1"/>
  <c r="J315" i="1"/>
  <c r="B315" i="1"/>
  <c r="K311" i="1"/>
  <c r="K288" i="1"/>
  <c r="K274" i="1"/>
  <c r="L57" i="1"/>
  <c r="M57" i="1"/>
  <c r="H66" i="1"/>
  <c r="I66" i="1"/>
  <c r="J66" i="1"/>
  <c r="K66" i="1" s="1"/>
  <c r="B66" i="1"/>
  <c r="A90" i="1"/>
  <c r="M37" i="1"/>
  <c r="L37" i="1"/>
  <c r="K92" i="1"/>
  <c r="A107" i="1"/>
  <c r="H83" i="1"/>
  <c r="I83" i="1"/>
  <c r="J83" i="1"/>
  <c r="B83" i="1"/>
  <c r="K42" i="1"/>
  <c r="L27" i="1"/>
  <c r="M27" i="1"/>
  <c r="L39" i="1"/>
  <c r="M39" i="1"/>
  <c r="A142" i="1"/>
  <c r="H118" i="1"/>
  <c r="I118" i="1"/>
  <c r="J118" i="1"/>
  <c r="B118" i="1"/>
  <c r="A124" i="1"/>
  <c r="H100" i="1"/>
  <c r="I100" i="1"/>
  <c r="J100" i="1"/>
  <c r="B100" i="1"/>
  <c r="A126" i="1"/>
  <c r="H102" i="1"/>
  <c r="K102" i="1" s="1"/>
  <c r="I102" i="1"/>
  <c r="J102" i="1"/>
  <c r="B102" i="1"/>
  <c r="A141" i="1"/>
  <c r="H117" i="1"/>
  <c r="I117" i="1"/>
  <c r="J117" i="1"/>
  <c r="B117" i="1"/>
  <c r="L94" i="1"/>
  <c r="M94" i="1"/>
  <c r="J63" i="1"/>
  <c r="A87" i="1"/>
  <c r="I63" i="1"/>
  <c r="H63" i="1"/>
  <c r="B63" i="1"/>
  <c r="L95" i="1"/>
  <c r="M95" i="1"/>
  <c r="A123" i="1"/>
  <c r="H99" i="1"/>
  <c r="I99" i="1"/>
  <c r="J99" i="1"/>
  <c r="B99" i="1"/>
  <c r="L43" i="1"/>
  <c r="M43" i="1"/>
  <c r="K61" i="1"/>
  <c r="K77" i="1"/>
  <c r="L71" i="1"/>
  <c r="M71" i="1"/>
  <c r="L41" i="1"/>
  <c r="M41" i="1"/>
  <c r="L78" i="1"/>
  <c r="M78" i="1"/>
  <c r="L47" i="1"/>
  <c r="M47" i="1"/>
  <c r="K93" i="1"/>
  <c r="L72" i="1"/>
  <c r="M72" i="1"/>
  <c r="A109" i="1"/>
  <c r="H85" i="1"/>
  <c r="I85" i="1"/>
  <c r="J85" i="1"/>
  <c r="B85" i="1"/>
  <c r="J64" i="1"/>
  <c r="A88" i="1"/>
  <c r="H64" i="1"/>
  <c r="I64" i="1"/>
  <c r="B64" i="1"/>
  <c r="A127" i="1"/>
  <c r="J103" i="1"/>
  <c r="B103" i="1"/>
  <c r="H103" i="1"/>
  <c r="I103" i="1"/>
  <c r="H82" i="1"/>
  <c r="I82" i="1"/>
  <c r="J82" i="1"/>
  <c r="K82" i="1" s="1"/>
  <c r="B82" i="1"/>
  <c r="A106" i="1"/>
  <c r="K146" i="1"/>
  <c r="A143" i="1"/>
  <c r="J119" i="1"/>
  <c r="B119" i="1"/>
  <c r="H119" i="1"/>
  <c r="I119" i="1"/>
  <c r="I65" i="1"/>
  <c r="J65" i="1"/>
  <c r="H65" i="1"/>
  <c r="B65" i="1"/>
  <c r="A89" i="1"/>
  <c r="L62" i="1"/>
  <c r="M62" i="1"/>
  <c r="L73" i="1"/>
  <c r="M73" i="1"/>
  <c r="K170" i="1"/>
  <c r="L170" i="1" s="1"/>
  <c r="L79" i="1"/>
  <c r="M79" i="1"/>
  <c r="J97" i="1"/>
  <c r="H97" i="1"/>
  <c r="I97" i="1"/>
  <c r="A121" i="1"/>
  <c r="J80" i="1"/>
  <c r="A104" i="1"/>
  <c r="H80" i="1"/>
  <c r="I80" i="1"/>
  <c r="B80" i="1"/>
  <c r="J96" i="1"/>
  <c r="A120" i="1"/>
  <c r="H96" i="1"/>
  <c r="I96" i="1"/>
  <c r="L28" i="1"/>
  <c r="M28" i="1"/>
  <c r="A108" i="1"/>
  <c r="H84" i="1"/>
  <c r="I84" i="1"/>
  <c r="J84" i="1"/>
  <c r="B84" i="1"/>
  <c r="L44" i="1"/>
  <c r="M44" i="1"/>
  <c r="K58" i="1"/>
  <c r="H122" i="1"/>
  <c r="K122" i="1" s="1"/>
  <c r="L29" i="1"/>
  <c r="M29" i="1"/>
  <c r="A140" i="1"/>
  <c r="H116" i="1"/>
  <c r="I116" i="1"/>
  <c r="J116" i="1"/>
  <c r="B116" i="1"/>
  <c r="M70" i="1"/>
  <c r="L70" i="1"/>
  <c r="J81" i="1"/>
  <c r="H81" i="1"/>
  <c r="I81" i="1"/>
  <c r="B81" i="1"/>
  <c r="A105" i="1"/>
  <c r="A139" i="1"/>
  <c r="H115" i="1"/>
  <c r="I115" i="1"/>
  <c r="J115" i="1"/>
  <c r="B115" i="1"/>
  <c r="K76" i="1"/>
  <c r="K91" i="1"/>
  <c r="L40" i="1"/>
  <c r="M40" i="1"/>
  <c r="K59" i="1"/>
  <c r="L48" i="1"/>
  <c r="M48" i="1"/>
  <c r="A125" i="1"/>
  <c r="H101" i="1"/>
  <c r="I101" i="1"/>
  <c r="J101" i="1"/>
  <c r="B101" i="1"/>
  <c r="K75" i="1"/>
  <c r="A194" i="1"/>
  <c r="H170" i="1"/>
  <c r="B97" i="1"/>
  <c r="B96" i="1"/>
  <c r="H146" i="1"/>
  <c r="L45" i="1"/>
  <c r="M45" i="1"/>
  <c r="K60" i="1"/>
  <c r="A110" i="1"/>
  <c r="I86" i="1"/>
  <c r="J86" i="1"/>
  <c r="B86" i="1"/>
  <c r="H86" i="1"/>
  <c r="K86" i="1" s="1"/>
  <c r="L74" i="1"/>
  <c r="M74" i="1"/>
  <c r="M50" i="1"/>
  <c r="L50" i="1"/>
  <c r="L122" i="1"/>
  <c r="M122" i="1"/>
  <c r="K98" i="1"/>
  <c r="M146" i="1"/>
  <c r="L146" i="1"/>
  <c r="L319" i="1" l="1"/>
  <c r="M319" i="1"/>
  <c r="M292" i="1"/>
  <c r="L292" i="1"/>
  <c r="K300" i="1"/>
  <c r="L334" i="1"/>
  <c r="M334" i="1"/>
  <c r="H317" i="1"/>
  <c r="I317" i="1"/>
  <c r="A341" i="1"/>
  <c r="B317" i="1"/>
  <c r="J317" i="1"/>
  <c r="M271" i="1"/>
  <c r="L271" i="1"/>
  <c r="A348" i="1"/>
  <c r="H324" i="1"/>
  <c r="K324" i="1" s="1"/>
  <c r="J324" i="1"/>
  <c r="I324" i="1"/>
  <c r="B324" i="1"/>
  <c r="L279" i="1"/>
  <c r="M279" i="1"/>
  <c r="H358" i="1"/>
  <c r="I358" i="1"/>
  <c r="J358" i="1"/>
  <c r="A382" i="1"/>
  <c r="B358" i="1"/>
  <c r="A367" i="1"/>
  <c r="I343" i="1"/>
  <c r="H343" i="1"/>
  <c r="B343" i="1"/>
  <c r="J343" i="1"/>
  <c r="M281" i="1"/>
  <c r="L281" i="1"/>
  <c r="L269" i="1"/>
  <c r="M269" i="1"/>
  <c r="M297" i="1"/>
  <c r="L297" i="1"/>
  <c r="K359" i="1"/>
  <c r="K320" i="1"/>
  <c r="K290" i="1"/>
  <c r="J337" i="1"/>
  <c r="I337" i="1"/>
  <c r="H337" i="1"/>
  <c r="K337" i="1" s="1"/>
  <c r="A361" i="1"/>
  <c r="B337" i="1"/>
  <c r="J332" i="1"/>
  <c r="H332" i="1"/>
  <c r="I332" i="1"/>
  <c r="B332" i="1"/>
  <c r="A356" i="1"/>
  <c r="K312" i="1"/>
  <c r="L305" i="1"/>
  <c r="M305" i="1"/>
  <c r="M299" i="1"/>
  <c r="L299" i="1"/>
  <c r="H323" i="1"/>
  <c r="B323" i="1"/>
  <c r="A347" i="1"/>
  <c r="I323" i="1"/>
  <c r="J323" i="1"/>
  <c r="A376" i="1"/>
  <c r="H352" i="1"/>
  <c r="B352" i="1"/>
  <c r="I352" i="1"/>
  <c r="J352" i="1"/>
  <c r="L272" i="1"/>
  <c r="M272" i="1"/>
  <c r="M274" i="1"/>
  <c r="L274" i="1"/>
  <c r="K309" i="1"/>
  <c r="H350" i="1"/>
  <c r="A374" i="1"/>
  <c r="J350" i="1"/>
  <c r="I350" i="1"/>
  <c r="B350" i="1"/>
  <c r="M311" i="1"/>
  <c r="L311" i="1"/>
  <c r="M277" i="1"/>
  <c r="L277" i="1"/>
  <c r="J353" i="1"/>
  <c r="H353" i="1"/>
  <c r="I353" i="1"/>
  <c r="B353" i="1"/>
  <c r="A377" i="1"/>
  <c r="L335" i="1"/>
  <c r="M335" i="1"/>
  <c r="H333" i="1"/>
  <c r="A357" i="1"/>
  <c r="B333" i="1"/>
  <c r="I333" i="1"/>
  <c r="J333" i="1"/>
  <c r="L308" i="1"/>
  <c r="M308" i="1"/>
  <c r="J345" i="1"/>
  <c r="A369" i="1"/>
  <c r="I345" i="1"/>
  <c r="H345" i="1"/>
  <c r="B345" i="1"/>
  <c r="M303" i="1"/>
  <c r="L303" i="1"/>
  <c r="A368" i="1"/>
  <c r="J344" i="1"/>
  <c r="I344" i="1"/>
  <c r="H344" i="1"/>
  <c r="K344" i="1" s="1"/>
  <c r="B344" i="1"/>
  <c r="A340" i="1"/>
  <c r="B316" i="1"/>
  <c r="H316" i="1"/>
  <c r="J316" i="1"/>
  <c r="I316" i="1"/>
  <c r="M288" i="1"/>
  <c r="L288" i="1"/>
  <c r="J330" i="1"/>
  <c r="I330" i="1"/>
  <c r="H330" i="1"/>
  <c r="K330" i="1" s="1"/>
  <c r="B330" i="1"/>
  <c r="A354" i="1"/>
  <c r="A407" i="1"/>
  <c r="I383" i="1"/>
  <c r="J383" i="1"/>
  <c r="H383" i="1"/>
  <c r="K383" i="1" s="1"/>
  <c r="B383" i="1"/>
  <c r="M282" i="1"/>
  <c r="L282" i="1"/>
  <c r="B314" i="1"/>
  <c r="J314" i="1"/>
  <c r="A338" i="1"/>
  <c r="I314" i="1"/>
  <c r="H314" i="1"/>
  <c r="M302" i="1"/>
  <c r="L302" i="1"/>
  <c r="K301" i="1"/>
  <c r="H342" i="1"/>
  <c r="J342" i="1"/>
  <c r="I342" i="1"/>
  <c r="B342" i="1"/>
  <c r="A366" i="1"/>
  <c r="K318" i="1"/>
  <c r="K298" i="1"/>
  <c r="L329" i="1"/>
  <c r="M329" i="1"/>
  <c r="B355" i="1"/>
  <c r="H355" i="1"/>
  <c r="K355" i="1" s="1"/>
  <c r="A379" i="1"/>
  <c r="J355" i="1"/>
  <c r="I355" i="1"/>
  <c r="M306" i="1"/>
  <c r="L306" i="1"/>
  <c r="H325" i="1"/>
  <c r="J325" i="1"/>
  <c r="I325" i="1"/>
  <c r="A349" i="1"/>
  <c r="B325" i="1"/>
  <c r="K326" i="1"/>
  <c r="K321" i="1"/>
  <c r="M266" i="1"/>
  <c r="L266" i="1"/>
  <c r="I322" i="1"/>
  <c r="B322" i="1"/>
  <c r="A346" i="1"/>
  <c r="J322" i="1"/>
  <c r="H322" i="1"/>
  <c r="M294" i="1"/>
  <c r="L294" i="1"/>
  <c r="J327" i="1"/>
  <c r="H327" i="1"/>
  <c r="A351" i="1"/>
  <c r="I327" i="1"/>
  <c r="B327" i="1"/>
  <c r="M293" i="1"/>
  <c r="L293" i="1"/>
  <c r="M280" i="1"/>
  <c r="L280" i="1"/>
  <c r="L270" i="1"/>
  <c r="M270" i="1"/>
  <c r="L304" i="1"/>
  <c r="M304" i="1"/>
  <c r="M313" i="1"/>
  <c r="L313" i="1"/>
  <c r="A360" i="1"/>
  <c r="J336" i="1"/>
  <c r="I336" i="1"/>
  <c r="B336" i="1"/>
  <c r="H336" i="1"/>
  <c r="K336" i="1" s="1"/>
  <c r="H339" i="1"/>
  <c r="B339" i="1"/>
  <c r="J339" i="1"/>
  <c r="I339" i="1"/>
  <c r="A363" i="1"/>
  <c r="K315" i="1"/>
  <c r="K331" i="1"/>
  <c r="K328" i="1"/>
  <c r="L42" i="1"/>
  <c r="M42" i="1"/>
  <c r="A145" i="1"/>
  <c r="J121" i="1"/>
  <c r="B121" i="1"/>
  <c r="H121" i="1"/>
  <c r="I121" i="1"/>
  <c r="K97" i="1"/>
  <c r="J127" i="1"/>
  <c r="H127" i="1"/>
  <c r="I127" i="1"/>
  <c r="A151" i="1"/>
  <c r="B127" i="1"/>
  <c r="K101" i="1"/>
  <c r="K84" i="1"/>
  <c r="H107" i="1"/>
  <c r="J107" i="1"/>
  <c r="I107" i="1"/>
  <c r="A131" i="1"/>
  <c r="B107" i="1"/>
  <c r="J106" i="1"/>
  <c r="A130" i="1"/>
  <c r="B106" i="1"/>
  <c r="H106" i="1"/>
  <c r="I106" i="1"/>
  <c r="K83" i="1"/>
  <c r="L76" i="1"/>
  <c r="M76" i="1"/>
  <c r="H90" i="1"/>
  <c r="J90" i="1"/>
  <c r="I90" i="1"/>
  <c r="A114" i="1"/>
  <c r="B90" i="1"/>
  <c r="L92" i="1"/>
  <c r="M92" i="1"/>
  <c r="H140" i="1"/>
  <c r="J140" i="1"/>
  <c r="I140" i="1"/>
  <c r="A164" i="1"/>
  <c r="B140" i="1"/>
  <c r="J109" i="1"/>
  <c r="H109" i="1"/>
  <c r="I109" i="1"/>
  <c r="A133" i="1"/>
  <c r="B109" i="1"/>
  <c r="K118" i="1"/>
  <c r="L102" i="1"/>
  <c r="M102" i="1"/>
  <c r="K119" i="1"/>
  <c r="A111" i="1"/>
  <c r="B87" i="1"/>
  <c r="H87" i="1"/>
  <c r="I87" i="1"/>
  <c r="J87" i="1"/>
  <c r="J108" i="1"/>
  <c r="H108" i="1"/>
  <c r="I108" i="1"/>
  <c r="A132" i="1"/>
  <c r="B108" i="1"/>
  <c r="H124" i="1"/>
  <c r="J124" i="1"/>
  <c r="I124" i="1"/>
  <c r="A148" i="1"/>
  <c r="B124" i="1"/>
  <c r="K117" i="1"/>
  <c r="J142" i="1"/>
  <c r="H142" i="1"/>
  <c r="I142" i="1"/>
  <c r="A166" i="1"/>
  <c r="B142" i="1"/>
  <c r="L66" i="1"/>
  <c r="M66" i="1"/>
  <c r="J110" i="1"/>
  <c r="H110" i="1"/>
  <c r="I110" i="1"/>
  <c r="A134" i="1"/>
  <c r="B110" i="1"/>
  <c r="L59" i="1"/>
  <c r="M59" i="1"/>
  <c r="J89" i="1"/>
  <c r="A113" i="1"/>
  <c r="B89" i="1"/>
  <c r="I89" i="1"/>
  <c r="H89" i="1"/>
  <c r="J141" i="1"/>
  <c r="H141" i="1"/>
  <c r="I141" i="1"/>
  <c r="A165" i="1"/>
  <c r="B141" i="1"/>
  <c r="M86" i="1"/>
  <c r="L86" i="1"/>
  <c r="J126" i="1"/>
  <c r="H126" i="1"/>
  <c r="I126" i="1"/>
  <c r="A150" i="1"/>
  <c r="B126" i="1"/>
  <c r="A112" i="1"/>
  <c r="B88" i="1"/>
  <c r="J88" i="1"/>
  <c r="H88" i="1"/>
  <c r="I88" i="1"/>
  <c r="J143" i="1"/>
  <c r="I143" i="1"/>
  <c r="A167" i="1"/>
  <c r="H143" i="1"/>
  <c r="B143" i="1"/>
  <c r="L61" i="1"/>
  <c r="M61" i="1"/>
  <c r="K96" i="1"/>
  <c r="L75" i="1"/>
  <c r="M75" i="1"/>
  <c r="K115" i="1"/>
  <c r="K103" i="1"/>
  <c r="L93" i="1"/>
  <c r="M93" i="1"/>
  <c r="K99" i="1"/>
  <c r="K81" i="1"/>
  <c r="K64" i="1"/>
  <c r="K63" i="1"/>
  <c r="L91" i="1"/>
  <c r="M91" i="1"/>
  <c r="K116" i="1"/>
  <c r="L82" i="1"/>
  <c r="M82" i="1"/>
  <c r="M170" i="1"/>
  <c r="J139" i="1"/>
  <c r="K139" i="1" s="1"/>
  <c r="A163" i="1"/>
  <c r="B139" i="1"/>
  <c r="I139" i="1"/>
  <c r="H139" i="1"/>
  <c r="L58" i="1"/>
  <c r="M58" i="1"/>
  <c r="K80" i="1"/>
  <c r="J123" i="1"/>
  <c r="A147" i="1"/>
  <c r="B123" i="1"/>
  <c r="I123" i="1"/>
  <c r="H123" i="1"/>
  <c r="J125" i="1"/>
  <c r="H125" i="1"/>
  <c r="I125" i="1"/>
  <c r="A149" i="1"/>
  <c r="B125" i="1"/>
  <c r="L60" i="1"/>
  <c r="M60" i="1"/>
  <c r="K100" i="1"/>
  <c r="L77" i="1"/>
  <c r="M77" i="1"/>
  <c r="K85" i="1"/>
  <c r="A144" i="1"/>
  <c r="J120" i="1"/>
  <c r="B120" i="1"/>
  <c r="H120" i="1"/>
  <c r="I120" i="1"/>
  <c r="J194" i="1"/>
  <c r="A218" i="1"/>
  <c r="B194" i="1"/>
  <c r="I194" i="1"/>
  <c r="H194" i="1"/>
  <c r="K194" i="1" s="1"/>
  <c r="A129" i="1"/>
  <c r="J105" i="1"/>
  <c r="B105" i="1"/>
  <c r="H105" i="1"/>
  <c r="I105" i="1"/>
  <c r="A128" i="1"/>
  <c r="B104" i="1"/>
  <c r="J104" i="1"/>
  <c r="H104" i="1"/>
  <c r="I104" i="1"/>
  <c r="K65" i="1"/>
  <c r="M98" i="1"/>
  <c r="L98" i="1"/>
  <c r="M324" i="1" l="1"/>
  <c r="L324" i="1"/>
  <c r="B348" i="1"/>
  <c r="H348" i="1"/>
  <c r="J348" i="1"/>
  <c r="A372" i="1"/>
  <c r="I348" i="1"/>
  <c r="L315" i="1"/>
  <c r="M315" i="1"/>
  <c r="I379" i="1"/>
  <c r="H379" i="1"/>
  <c r="B379" i="1"/>
  <c r="A403" i="1"/>
  <c r="J379" i="1"/>
  <c r="L355" i="1"/>
  <c r="M355" i="1"/>
  <c r="L318" i="1"/>
  <c r="M318" i="1"/>
  <c r="I363" i="1"/>
  <c r="A387" i="1"/>
  <c r="J363" i="1"/>
  <c r="H363" i="1"/>
  <c r="K363" i="1" s="1"/>
  <c r="B363" i="1"/>
  <c r="A391" i="1"/>
  <c r="B367" i="1"/>
  <c r="J367" i="1"/>
  <c r="I367" i="1"/>
  <c r="H367" i="1"/>
  <c r="K367" i="1" s="1"/>
  <c r="A371" i="1"/>
  <c r="J347" i="1"/>
  <c r="B347" i="1"/>
  <c r="I347" i="1"/>
  <c r="H347" i="1"/>
  <c r="J366" i="1"/>
  <c r="I366" i="1"/>
  <c r="H366" i="1"/>
  <c r="K366" i="1" s="1"/>
  <c r="A390" i="1"/>
  <c r="B366" i="1"/>
  <c r="L344" i="1"/>
  <c r="M344" i="1"/>
  <c r="K317" i="1"/>
  <c r="A370" i="1"/>
  <c r="I346" i="1"/>
  <c r="H346" i="1"/>
  <c r="B346" i="1"/>
  <c r="J346" i="1"/>
  <c r="K343" i="1"/>
  <c r="J382" i="1"/>
  <c r="I382" i="1"/>
  <c r="H382" i="1"/>
  <c r="B382" i="1"/>
  <c r="A406" i="1"/>
  <c r="A373" i="1"/>
  <c r="J349" i="1"/>
  <c r="I349" i="1"/>
  <c r="H349" i="1"/>
  <c r="K349" i="1" s="1"/>
  <c r="B349" i="1"/>
  <c r="A381" i="1"/>
  <c r="B357" i="1"/>
  <c r="H357" i="1"/>
  <c r="J357" i="1"/>
  <c r="I357" i="1"/>
  <c r="J351" i="1"/>
  <c r="I351" i="1"/>
  <c r="H351" i="1"/>
  <c r="B351" i="1"/>
  <c r="A375" i="1"/>
  <c r="K333" i="1"/>
  <c r="K350" i="1"/>
  <c r="L320" i="1"/>
  <c r="M320" i="1"/>
  <c r="L328" i="1"/>
  <c r="M328" i="1"/>
  <c r="J361" i="1"/>
  <c r="A385" i="1"/>
  <c r="I361" i="1"/>
  <c r="H361" i="1"/>
  <c r="K361" i="1" s="1"/>
  <c r="B361" i="1"/>
  <c r="M298" i="1"/>
  <c r="L298" i="1"/>
  <c r="A364" i="1"/>
  <c r="I340" i="1"/>
  <c r="H340" i="1"/>
  <c r="B340" i="1"/>
  <c r="J340" i="1"/>
  <c r="L359" i="1"/>
  <c r="M359" i="1"/>
  <c r="K358" i="1"/>
  <c r="B338" i="1"/>
  <c r="J338" i="1"/>
  <c r="H338" i="1"/>
  <c r="A362" i="1"/>
  <c r="I338" i="1"/>
  <c r="M383" i="1"/>
  <c r="L383" i="1"/>
  <c r="M336" i="1"/>
  <c r="L336" i="1"/>
  <c r="K325" i="1"/>
  <c r="K342" i="1"/>
  <c r="A378" i="1"/>
  <c r="J354" i="1"/>
  <c r="I354" i="1"/>
  <c r="H354" i="1"/>
  <c r="K354" i="1" s="1"/>
  <c r="B354" i="1"/>
  <c r="B368" i="1"/>
  <c r="A392" i="1"/>
  <c r="J368" i="1"/>
  <c r="I368" i="1"/>
  <c r="H368" i="1"/>
  <c r="K368" i="1" s="1"/>
  <c r="M300" i="1"/>
  <c r="L300" i="1"/>
  <c r="B407" i="1"/>
  <c r="J407" i="1"/>
  <c r="I407" i="1"/>
  <c r="H407" i="1"/>
  <c r="K407" i="1" s="1"/>
  <c r="A431" i="1"/>
  <c r="A384" i="1"/>
  <c r="J360" i="1"/>
  <c r="I360" i="1"/>
  <c r="H360" i="1"/>
  <c r="K360" i="1" s="1"/>
  <c r="B360" i="1"/>
  <c r="M301" i="1"/>
  <c r="L301" i="1"/>
  <c r="J377" i="1"/>
  <c r="I377" i="1"/>
  <c r="H377" i="1"/>
  <c r="K377" i="1" s="1"/>
  <c r="A401" i="1"/>
  <c r="B377" i="1"/>
  <c r="B376" i="1"/>
  <c r="A400" i="1"/>
  <c r="H376" i="1"/>
  <c r="J376" i="1"/>
  <c r="I376" i="1"/>
  <c r="L337" i="1"/>
  <c r="M337" i="1"/>
  <c r="M290" i="1"/>
  <c r="L290" i="1"/>
  <c r="K327" i="1"/>
  <c r="M330" i="1"/>
  <c r="L330" i="1"/>
  <c r="M312" i="1"/>
  <c r="L312" i="1"/>
  <c r="L331" i="1"/>
  <c r="M331" i="1"/>
  <c r="J369" i="1"/>
  <c r="A393" i="1"/>
  <c r="I369" i="1"/>
  <c r="B369" i="1"/>
  <c r="H369" i="1"/>
  <c r="K369" i="1" s="1"/>
  <c r="L326" i="1"/>
  <c r="M326" i="1"/>
  <c r="J341" i="1"/>
  <c r="A365" i="1"/>
  <c r="H341" i="1"/>
  <c r="I341" i="1"/>
  <c r="B341" i="1"/>
  <c r="K323" i="1"/>
  <c r="L309" i="1"/>
  <c r="M309" i="1"/>
  <c r="K322" i="1"/>
  <c r="A380" i="1"/>
  <c r="J356" i="1"/>
  <c r="I356" i="1"/>
  <c r="H356" i="1"/>
  <c r="K356" i="1" s="1"/>
  <c r="B356" i="1"/>
  <c r="K332" i="1"/>
  <c r="K352" i="1"/>
  <c r="K316" i="1"/>
  <c r="M321" i="1"/>
  <c r="L321" i="1"/>
  <c r="K339" i="1"/>
  <c r="J374" i="1"/>
  <c r="I374" i="1"/>
  <c r="H374" i="1"/>
  <c r="K374" i="1" s="1"/>
  <c r="A398" i="1"/>
  <c r="B374" i="1"/>
  <c r="K314" i="1"/>
  <c r="K345" i="1"/>
  <c r="K353" i="1"/>
  <c r="L101" i="1"/>
  <c r="M101" i="1"/>
  <c r="A187" i="1"/>
  <c r="J163" i="1"/>
  <c r="H163" i="1"/>
  <c r="K163" i="1" s="1"/>
  <c r="I163" i="1"/>
  <c r="B163" i="1"/>
  <c r="A172" i="1"/>
  <c r="J148" i="1"/>
  <c r="H148" i="1"/>
  <c r="I148" i="1"/>
  <c r="B148" i="1"/>
  <c r="K124" i="1"/>
  <c r="A242" i="1"/>
  <c r="I218" i="1"/>
  <c r="J218" i="1"/>
  <c r="B218" i="1"/>
  <c r="H218" i="1"/>
  <c r="A158" i="1"/>
  <c r="H134" i="1"/>
  <c r="I134" i="1"/>
  <c r="J134" i="1"/>
  <c r="B134" i="1"/>
  <c r="H132" i="1"/>
  <c r="A156" i="1"/>
  <c r="I132" i="1"/>
  <c r="J132" i="1"/>
  <c r="B132" i="1"/>
  <c r="J129" i="1"/>
  <c r="A153" i="1"/>
  <c r="H129" i="1"/>
  <c r="I129" i="1"/>
  <c r="B129" i="1"/>
  <c r="L84" i="1"/>
  <c r="M84" i="1"/>
  <c r="K126" i="1"/>
  <c r="K109" i="1"/>
  <c r="A191" i="1"/>
  <c r="H167" i="1"/>
  <c r="I167" i="1"/>
  <c r="J167" i="1"/>
  <c r="B167" i="1"/>
  <c r="L97" i="1"/>
  <c r="M97" i="1"/>
  <c r="K121" i="1"/>
  <c r="H150" i="1"/>
  <c r="A174" i="1"/>
  <c r="I150" i="1"/>
  <c r="J150" i="1"/>
  <c r="B150" i="1"/>
  <c r="A175" i="1"/>
  <c r="H151" i="1"/>
  <c r="I151" i="1"/>
  <c r="J151" i="1"/>
  <c r="B151" i="1"/>
  <c r="L83" i="1"/>
  <c r="M83" i="1"/>
  <c r="K104" i="1"/>
  <c r="L81" i="1"/>
  <c r="M81" i="1"/>
  <c r="H166" i="1"/>
  <c r="A190" i="1"/>
  <c r="I166" i="1"/>
  <c r="B166" i="1"/>
  <c r="J166" i="1"/>
  <c r="K140" i="1"/>
  <c r="L139" i="1"/>
  <c r="M139" i="1"/>
  <c r="K108" i="1"/>
  <c r="L99" i="1"/>
  <c r="M99" i="1"/>
  <c r="L115" i="1"/>
  <c r="M115" i="1"/>
  <c r="M194" i="1"/>
  <c r="L194" i="1"/>
  <c r="L118" i="1"/>
  <c r="M118" i="1"/>
  <c r="A157" i="1"/>
  <c r="H133" i="1"/>
  <c r="I133" i="1"/>
  <c r="J133" i="1"/>
  <c r="B133" i="1"/>
  <c r="K125" i="1"/>
  <c r="L65" i="1"/>
  <c r="M65" i="1"/>
  <c r="L116" i="1"/>
  <c r="M116" i="1"/>
  <c r="H165" i="1"/>
  <c r="I165" i="1"/>
  <c r="A189" i="1"/>
  <c r="J165" i="1"/>
  <c r="B165" i="1"/>
  <c r="A171" i="1"/>
  <c r="J147" i="1"/>
  <c r="H147" i="1"/>
  <c r="I147" i="1"/>
  <c r="B147" i="1"/>
  <c r="J144" i="1"/>
  <c r="A168" i="1"/>
  <c r="I144" i="1"/>
  <c r="H144" i="1"/>
  <c r="K144" i="1" s="1"/>
  <c r="B144" i="1"/>
  <c r="K143" i="1"/>
  <c r="K141" i="1"/>
  <c r="K88" i="1"/>
  <c r="K142" i="1"/>
  <c r="A155" i="1"/>
  <c r="J131" i="1"/>
  <c r="H131" i="1"/>
  <c r="I131" i="1"/>
  <c r="B131" i="1"/>
  <c r="J145" i="1"/>
  <c r="K145" i="1" s="1"/>
  <c r="H145" i="1"/>
  <c r="A169" i="1"/>
  <c r="I145" i="1"/>
  <c r="B145" i="1"/>
  <c r="J114" i="1"/>
  <c r="H114" i="1"/>
  <c r="I114" i="1"/>
  <c r="A138" i="1"/>
  <c r="B114" i="1"/>
  <c r="L96" i="1"/>
  <c r="M96" i="1"/>
  <c r="K110" i="1"/>
  <c r="A188" i="1"/>
  <c r="J164" i="1"/>
  <c r="H164" i="1"/>
  <c r="I164" i="1"/>
  <c r="B164" i="1"/>
  <c r="L64" i="1"/>
  <c r="M64" i="1"/>
  <c r="J130" i="1"/>
  <c r="A154" i="1"/>
  <c r="H130" i="1"/>
  <c r="I130" i="1"/>
  <c r="B130" i="1"/>
  <c r="L85" i="1"/>
  <c r="M85" i="1"/>
  <c r="L80" i="1"/>
  <c r="M80" i="1"/>
  <c r="K87" i="1"/>
  <c r="L100" i="1"/>
  <c r="M100" i="1"/>
  <c r="J111" i="1"/>
  <c r="A135" i="1"/>
  <c r="H111" i="1"/>
  <c r="B111" i="1"/>
  <c r="I111" i="1"/>
  <c r="H149" i="1"/>
  <c r="I149" i="1"/>
  <c r="A173" i="1"/>
  <c r="J149" i="1"/>
  <c r="B149" i="1"/>
  <c r="K90" i="1"/>
  <c r="K127" i="1"/>
  <c r="K106" i="1"/>
  <c r="K120" i="1"/>
  <c r="L63" i="1"/>
  <c r="M63" i="1"/>
  <c r="K123" i="1"/>
  <c r="J128" i="1"/>
  <c r="A152" i="1"/>
  <c r="B128" i="1"/>
  <c r="H128" i="1"/>
  <c r="I128" i="1"/>
  <c r="K89" i="1"/>
  <c r="K105" i="1"/>
  <c r="M103" i="1"/>
  <c r="L103" i="1"/>
  <c r="J112" i="1"/>
  <c r="A136" i="1"/>
  <c r="H112" i="1"/>
  <c r="I112" i="1"/>
  <c r="B112" i="1"/>
  <c r="J113" i="1"/>
  <c r="H113" i="1"/>
  <c r="I113" i="1"/>
  <c r="B113" i="1"/>
  <c r="A137" i="1"/>
  <c r="L117" i="1"/>
  <c r="M117" i="1"/>
  <c r="M119" i="1"/>
  <c r="L119" i="1"/>
  <c r="K107" i="1"/>
  <c r="L374" i="1" l="1"/>
  <c r="M374" i="1"/>
  <c r="M322" i="1"/>
  <c r="L322" i="1"/>
  <c r="J398" i="1"/>
  <c r="I398" i="1"/>
  <c r="H398" i="1"/>
  <c r="K398" i="1" s="1"/>
  <c r="A422" i="1"/>
  <c r="B398" i="1"/>
  <c r="J401" i="1"/>
  <c r="I401" i="1"/>
  <c r="H401" i="1"/>
  <c r="K401" i="1" s="1"/>
  <c r="A425" i="1"/>
  <c r="B401" i="1"/>
  <c r="M368" i="1"/>
  <c r="L368" i="1"/>
  <c r="I371" i="1"/>
  <c r="H371" i="1"/>
  <c r="A395" i="1"/>
  <c r="B371" i="1"/>
  <c r="J371" i="1"/>
  <c r="L327" i="1"/>
  <c r="M327" i="1"/>
  <c r="B392" i="1"/>
  <c r="A416" i="1"/>
  <c r="J392" i="1"/>
  <c r="I392" i="1"/>
  <c r="H392" i="1"/>
  <c r="K392" i="1" s="1"/>
  <c r="B381" i="1"/>
  <c r="A405" i="1"/>
  <c r="I381" i="1"/>
  <c r="J381" i="1"/>
  <c r="H381" i="1"/>
  <c r="A394" i="1"/>
  <c r="J370" i="1"/>
  <c r="I370" i="1"/>
  <c r="H370" i="1"/>
  <c r="K370" i="1" s="1"/>
  <c r="B370" i="1"/>
  <c r="M343" i="1"/>
  <c r="L343" i="1"/>
  <c r="I403" i="1"/>
  <c r="H403" i="1"/>
  <c r="B403" i="1"/>
  <c r="A427" i="1"/>
  <c r="J403" i="1"/>
  <c r="K379" i="1"/>
  <c r="L349" i="1"/>
  <c r="M349" i="1"/>
  <c r="B391" i="1"/>
  <c r="J391" i="1"/>
  <c r="I391" i="1"/>
  <c r="H391" i="1"/>
  <c r="K391" i="1" s="1"/>
  <c r="A415" i="1"/>
  <c r="M367" i="1"/>
  <c r="L367" i="1"/>
  <c r="L339" i="1"/>
  <c r="M339" i="1"/>
  <c r="K341" i="1"/>
  <c r="L352" i="1"/>
  <c r="M352" i="1"/>
  <c r="L360" i="1"/>
  <c r="M360" i="1"/>
  <c r="L332" i="1"/>
  <c r="M332" i="1"/>
  <c r="M363" i="1"/>
  <c r="L363" i="1"/>
  <c r="H372" i="1"/>
  <c r="B372" i="1"/>
  <c r="I372" i="1"/>
  <c r="A396" i="1"/>
  <c r="J372" i="1"/>
  <c r="L323" i="1"/>
  <c r="M323" i="1"/>
  <c r="K357" i="1"/>
  <c r="B365" i="1"/>
  <c r="A389" i="1"/>
  <c r="H365" i="1"/>
  <c r="J365" i="1"/>
  <c r="I365" i="1"/>
  <c r="M316" i="1"/>
  <c r="L316" i="1"/>
  <c r="L358" i="1"/>
  <c r="M358" i="1"/>
  <c r="B384" i="1"/>
  <c r="A408" i="1"/>
  <c r="J384" i="1"/>
  <c r="I384" i="1"/>
  <c r="H384" i="1"/>
  <c r="K384" i="1" s="1"/>
  <c r="L350" i="1"/>
  <c r="M350" i="1"/>
  <c r="B373" i="1"/>
  <c r="A397" i="1"/>
  <c r="J373" i="1"/>
  <c r="I373" i="1"/>
  <c r="H373" i="1"/>
  <c r="K373" i="1" s="1"/>
  <c r="J390" i="1"/>
  <c r="I390" i="1"/>
  <c r="H390" i="1"/>
  <c r="A414" i="1"/>
  <c r="B390" i="1"/>
  <c r="L317" i="1"/>
  <c r="M317" i="1"/>
  <c r="M356" i="1"/>
  <c r="L356" i="1"/>
  <c r="A455" i="1"/>
  <c r="J431" i="1"/>
  <c r="I431" i="1"/>
  <c r="H431" i="1"/>
  <c r="K431" i="1" s="1"/>
  <c r="B431" i="1"/>
  <c r="I378" i="1"/>
  <c r="H378" i="1"/>
  <c r="K378" i="1" s="1"/>
  <c r="B378" i="1"/>
  <c r="A402" i="1"/>
  <c r="J378" i="1"/>
  <c r="L333" i="1"/>
  <c r="M333" i="1"/>
  <c r="J406" i="1"/>
  <c r="I406" i="1"/>
  <c r="H406" i="1"/>
  <c r="K406" i="1" s="1"/>
  <c r="A430" i="1"/>
  <c r="B406" i="1"/>
  <c r="L366" i="1"/>
  <c r="M366" i="1"/>
  <c r="I387" i="1"/>
  <c r="H387" i="1"/>
  <c r="B387" i="1"/>
  <c r="A411" i="1"/>
  <c r="J387" i="1"/>
  <c r="K348" i="1"/>
  <c r="M354" i="1"/>
  <c r="L354" i="1"/>
  <c r="M369" i="1"/>
  <c r="L369" i="1"/>
  <c r="M353" i="1"/>
  <c r="L353" i="1"/>
  <c r="K376" i="1"/>
  <c r="M407" i="1"/>
  <c r="L407" i="1"/>
  <c r="M342" i="1"/>
  <c r="L342" i="1"/>
  <c r="K340" i="1"/>
  <c r="J375" i="1"/>
  <c r="I375" i="1"/>
  <c r="H375" i="1"/>
  <c r="K375" i="1" s="1"/>
  <c r="A399" i="1"/>
  <c r="B375" i="1"/>
  <c r="M377" i="1"/>
  <c r="L377" i="1"/>
  <c r="L361" i="1"/>
  <c r="M361" i="1"/>
  <c r="J362" i="1"/>
  <c r="I362" i="1"/>
  <c r="H362" i="1"/>
  <c r="K362" i="1" s="1"/>
  <c r="B362" i="1"/>
  <c r="A386" i="1"/>
  <c r="J385" i="1"/>
  <c r="I385" i="1"/>
  <c r="A409" i="1"/>
  <c r="B385" i="1"/>
  <c r="H385" i="1"/>
  <c r="K385" i="1" s="1"/>
  <c r="L345" i="1"/>
  <c r="M345" i="1"/>
  <c r="J393" i="1"/>
  <c r="I393" i="1"/>
  <c r="H393" i="1"/>
  <c r="K393" i="1" s="1"/>
  <c r="B393" i="1"/>
  <c r="A417" i="1"/>
  <c r="B400" i="1"/>
  <c r="A424" i="1"/>
  <c r="I400" i="1"/>
  <c r="H400" i="1"/>
  <c r="J400" i="1"/>
  <c r="M325" i="1"/>
  <c r="L325" i="1"/>
  <c r="K382" i="1"/>
  <c r="K346" i="1"/>
  <c r="K338" i="1"/>
  <c r="M314" i="1"/>
  <c r="L314" i="1"/>
  <c r="B380" i="1"/>
  <c r="I380" i="1"/>
  <c r="H380" i="1"/>
  <c r="A404" i="1"/>
  <c r="J380" i="1"/>
  <c r="J364" i="1"/>
  <c r="I364" i="1"/>
  <c r="H364" i="1"/>
  <c r="K364" i="1" s="1"/>
  <c r="B364" i="1"/>
  <c r="A388" i="1"/>
  <c r="K351" i="1"/>
  <c r="K347" i="1"/>
  <c r="K113" i="1"/>
  <c r="B242" i="1"/>
  <c r="J242" i="1"/>
  <c r="I242" i="1"/>
  <c r="H242" i="1"/>
  <c r="K112" i="1"/>
  <c r="K147" i="1"/>
  <c r="K129" i="1"/>
  <c r="L127" i="1"/>
  <c r="M127" i="1"/>
  <c r="L142" i="1"/>
  <c r="M142" i="1"/>
  <c r="L124" i="1"/>
  <c r="M124" i="1"/>
  <c r="A177" i="1"/>
  <c r="B153" i="1"/>
  <c r="H153" i="1"/>
  <c r="J153" i="1"/>
  <c r="I153" i="1"/>
  <c r="A212" i="1"/>
  <c r="H188" i="1"/>
  <c r="I188" i="1"/>
  <c r="J188" i="1"/>
  <c r="K188" i="1" s="1"/>
  <c r="B188" i="1"/>
  <c r="L106" i="1"/>
  <c r="M106" i="1"/>
  <c r="K167" i="1"/>
  <c r="L145" i="1"/>
  <c r="M145" i="1"/>
  <c r="K164" i="1"/>
  <c r="H190" i="1"/>
  <c r="J190" i="1"/>
  <c r="I190" i="1"/>
  <c r="A214" i="1"/>
  <c r="B190" i="1"/>
  <c r="M120" i="1"/>
  <c r="L120" i="1"/>
  <c r="A179" i="1"/>
  <c r="I155" i="1"/>
  <c r="B155" i="1"/>
  <c r="J155" i="1"/>
  <c r="H155" i="1"/>
  <c r="K148" i="1"/>
  <c r="L88" i="1"/>
  <c r="M88" i="1"/>
  <c r="J156" i="1"/>
  <c r="K156" i="1" s="1"/>
  <c r="A180" i="1"/>
  <c r="B156" i="1"/>
  <c r="H156" i="1"/>
  <c r="I156" i="1"/>
  <c r="A162" i="1"/>
  <c r="B138" i="1"/>
  <c r="J138" i="1"/>
  <c r="H138" i="1"/>
  <c r="I138" i="1"/>
  <c r="A196" i="1"/>
  <c r="B172" i="1"/>
  <c r="J172" i="1"/>
  <c r="H172" i="1"/>
  <c r="I172" i="1"/>
  <c r="L143" i="1"/>
  <c r="M143" i="1"/>
  <c r="J191" i="1"/>
  <c r="H191" i="1"/>
  <c r="I191" i="1"/>
  <c r="A215" i="1"/>
  <c r="B191" i="1"/>
  <c r="J189" i="1"/>
  <c r="A213" i="1"/>
  <c r="H189" i="1"/>
  <c r="B189" i="1"/>
  <c r="I189" i="1"/>
  <c r="K165" i="1"/>
  <c r="L163" i="1"/>
  <c r="M163" i="1"/>
  <c r="L123" i="1"/>
  <c r="M123" i="1"/>
  <c r="H157" i="1"/>
  <c r="J157" i="1"/>
  <c r="I157" i="1"/>
  <c r="A181" i="1"/>
  <c r="B157" i="1"/>
  <c r="K131" i="1"/>
  <c r="L90" i="1"/>
  <c r="M90" i="1"/>
  <c r="L107" i="1"/>
  <c r="M107" i="1"/>
  <c r="L89" i="1"/>
  <c r="M89" i="1"/>
  <c r="A178" i="1"/>
  <c r="B154" i="1"/>
  <c r="J154" i="1"/>
  <c r="H154" i="1"/>
  <c r="I154" i="1"/>
  <c r="K130" i="1"/>
  <c r="K151" i="1"/>
  <c r="L126" i="1"/>
  <c r="M126" i="1"/>
  <c r="K134" i="1"/>
  <c r="K166" i="1"/>
  <c r="A160" i="1"/>
  <c r="J136" i="1"/>
  <c r="B136" i="1"/>
  <c r="H136" i="1"/>
  <c r="I136" i="1"/>
  <c r="K114" i="1"/>
  <c r="L109" i="1"/>
  <c r="M109" i="1"/>
  <c r="A192" i="1"/>
  <c r="I168" i="1"/>
  <c r="J168" i="1"/>
  <c r="K168" i="1" s="1"/>
  <c r="B168" i="1"/>
  <c r="H168" i="1"/>
  <c r="L125" i="1"/>
  <c r="M125" i="1"/>
  <c r="J175" i="1"/>
  <c r="H175" i="1"/>
  <c r="I175" i="1"/>
  <c r="A199" i="1"/>
  <c r="B175" i="1"/>
  <c r="J158" i="1"/>
  <c r="H158" i="1"/>
  <c r="I158" i="1"/>
  <c r="A182" i="1"/>
  <c r="B158" i="1"/>
  <c r="A211" i="1"/>
  <c r="J187" i="1"/>
  <c r="K187" i="1" s="1"/>
  <c r="B187" i="1"/>
  <c r="H187" i="1"/>
  <c r="I187" i="1"/>
  <c r="H174" i="1"/>
  <c r="J174" i="1"/>
  <c r="I174" i="1"/>
  <c r="A198" i="1"/>
  <c r="B174" i="1"/>
  <c r="L121" i="1"/>
  <c r="M121" i="1"/>
  <c r="M104" i="1"/>
  <c r="L104" i="1"/>
  <c r="K132" i="1"/>
  <c r="J173" i="1"/>
  <c r="A197" i="1"/>
  <c r="H173" i="1"/>
  <c r="I173" i="1"/>
  <c r="B173" i="1"/>
  <c r="K149" i="1"/>
  <c r="K128" i="1"/>
  <c r="A176" i="1"/>
  <c r="I152" i="1"/>
  <c r="J152" i="1"/>
  <c r="B152" i="1"/>
  <c r="H152" i="1"/>
  <c r="K111" i="1"/>
  <c r="A193" i="1"/>
  <c r="B169" i="1"/>
  <c r="H169" i="1"/>
  <c r="I169" i="1"/>
  <c r="J169" i="1"/>
  <c r="L140" i="1"/>
  <c r="M140" i="1"/>
  <c r="K218" i="1"/>
  <c r="K133" i="1"/>
  <c r="K150" i="1"/>
  <c r="M87" i="1"/>
  <c r="L87" i="1"/>
  <c r="A195" i="1"/>
  <c r="B171" i="1"/>
  <c r="I171" i="1"/>
  <c r="H171" i="1"/>
  <c r="J171" i="1"/>
  <c r="K171" i="1" s="1"/>
  <c r="L110" i="1"/>
  <c r="M110" i="1"/>
  <c r="L141" i="1"/>
  <c r="M141" i="1"/>
  <c r="L105" i="1"/>
  <c r="M105" i="1"/>
  <c r="L144" i="1"/>
  <c r="M144" i="1"/>
  <c r="L108" i="1"/>
  <c r="M108" i="1"/>
  <c r="A161" i="1"/>
  <c r="H137" i="1"/>
  <c r="B137" i="1"/>
  <c r="J137" i="1"/>
  <c r="I137" i="1"/>
  <c r="A159" i="1"/>
  <c r="H135" i="1"/>
  <c r="I135" i="1"/>
  <c r="J135" i="1"/>
  <c r="B135" i="1"/>
  <c r="M382" i="1" l="1"/>
  <c r="L382" i="1"/>
  <c r="J409" i="1"/>
  <c r="I409" i="1"/>
  <c r="H409" i="1"/>
  <c r="K409" i="1" s="1"/>
  <c r="B409" i="1"/>
  <c r="A433" i="1"/>
  <c r="I427" i="1"/>
  <c r="H427" i="1"/>
  <c r="B427" i="1"/>
  <c r="A451" i="1"/>
  <c r="J427" i="1"/>
  <c r="L392" i="1"/>
  <c r="M392" i="1"/>
  <c r="L401" i="1"/>
  <c r="M401" i="1"/>
  <c r="M347" i="1"/>
  <c r="L347" i="1"/>
  <c r="L375" i="1"/>
  <c r="M375" i="1"/>
  <c r="M378" i="1"/>
  <c r="L378" i="1"/>
  <c r="M379" i="1"/>
  <c r="L379" i="1"/>
  <c r="B397" i="1"/>
  <c r="A421" i="1"/>
  <c r="J397" i="1"/>
  <c r="I397" i="1"/>
  <c r="H397" i="1"/>
  <c r="K397" i="1" s="1"/>
  <c r="J386" i="1"/>
  <c r="I386" i="1"/>
  <c r="H386" i="1"/>
  <c r="K386" i="1" s="1"/>
  <c r="A410" i="1"/>
  <c r="B386" i="1"/>
  <c r="M357" i="1"/>
  <c r="L357" i="1"/>
  <c r="B416" i="1"/>
  <c r="A440" i="1"/>
  <c r="I416" i="1"/>
  <c r="H416" i="1"/>
  <c r="J416" i="1"/>
  <c r="L346" i="1"/>
  <c r="M346" i="1"/>
  <c r="K403" i="1"/>
  <c r="M384" i="1"/>
  <c r="L384" i="1"/>
  <c r="J422" i="1"/>
  <c r="I422" i="1"/>
  <c r="H422" i="1"/>
  <c r="A446" i="1"/>
  <c r="B422" i="1"/>
  <c r="L385" i="1"/>
  <c r="M385" i="1"/>
  <c r="K365" i="1"/>
  <c r="M364" i="1"/>
  <c r="L364" i="1"/>
  <c r="L341" i="1"/>
  <c r="M341" i="1"/>
  <c r="M398" i="1"/>
  <c r="L398" i="1"/>
  <c r="J425" i="1"/>
  <c r="I425" i="1"/>
  <c r="H425" i="1"/>
  <c r="K425" i="1" s="1"/>
  <c r="B425" i="1"/>
  <c r="A449" i="1"/>
  <c r="M362" i="1"/>
  <c r="L362" i="1"/>
  <c r="J455" i="1"/>
  <c r="I455" i="1"/>
  <c r="B455" i="1"/>
  <c r="A479" i="1"/>
  <c r="H455" i="1"/>
  <c r="K455" i="1" s="1"/>
  <c r="J430" i="1"/>
  <c r="I430" i="1"/>
  <c r="H430" i="1"/>
  <c r="K430" i="1" s="1"/>
  <c r="A454" i="1"/>
  <c r="B430" i="1"/>
  <c r="J396" i="1"/>
  <c r="I396" i="1"/>
  <c r="H396" i="1"/>
  <c r="K396" i="1" s="1"/>
  <c r="A420" i="1"/>
  <c r="B396" i="1"/>
  <c r="M340" i="1"/>
  <c r="L340" i="1"/>
  <c r="B424" i="1"/>
  <c r="A448" i="1"/>
  <c r="H424" i="1"/>
  <c r="J424" i="1"/>
  <c r="I424" i="1"/>
  <c r="B408" i="1"/>
  <c r="A432" i="1"/>
  <c r="H408" i="1"/>
  <c r="J408" i="1"/>
  <c r="I408" i="1"/>
  <c r="A439" i="1"/>
  <c r="J415" i="1"/>
  <c r="I415" i="1"/>
  <c r="H415" i="1"/>
  <c r="B415" i="1"/>
  <c r="M370" i="1"/>
  <c r="L370" i="1"/>
  <c r="I411" i="1"/>
  <c r="H411" i="1"/>
  <c r="B411" i="1"/>
  <c r="A435" i="1"/>
  <c r="J411" i="1"/>
  <c r="M351" i="1"/>
  <c r="L351" i="1"/>
  <c r="M406" i="1"/>
  <c r="L406" i="1"/>
  <c r="M391" i="1"/>
  <c r="L391" i="1"/>
  <c r="K387" i="1"/>
  <c r="B389" i="1"/>
  <c r="A413" i="1"/>
  <c r="J389" i="1"/>
  <c r="I389" i="1"/>
  <c r="H389" i="1"/>
  <c r="K389" i="1" s="1"/>
  <c r="K400" i="1"/>
  <c r="M376" i="1"/>
  <c r="L376" i="1"/>
  <c r="J404" i="1"/>
  <c r="I404" i="1"/>
  <c r="H404" i="1"/>
  <c r="K404" i="1" s="1"/>
  <c r="B404" i="1"/>
  <c r="A428" i="1"/>
  <c r="K380" i="1"/>
  <c r="J414" i="1"/>
  <c r="I414" i="1"/>
  <c r="H414" i="1"/>
  <c r="A438" i="1"/>
  <c r="B414" i="1"/>
  <c r="K372" i="1"/>
  <c r="I395" i="1"/>
  <c r="H395" i="1"/>
  <c r="B395" i="1"/>
  <c r="A419" i="1"/>
  <c r="J395" i="1"/>
  <c r="M373" i="1"/>
  <c r="L373" i="1"/>
  <c r="J388" i="1"/>
  <c r="I388" i="1"/>
  <c r="H388" i="1"/>
  <c r="K388" i="1" s="1"/>
  <c r="A412" i="1"/>
  <c r="B388" i="1"/>
  <c r="J417" i="1"/>
  <c r="I417" i="1"/>
  <c r="H417" i="1"/>
  <c r="K417" i="1" s="1"/>
  <c r="A441" i="1"/>
  <c r="B417" i="1"/>
  <c r="L393" i="1"/>
  <c r="M393" i="1"/>
  <c r="K390" i="1"/>
  <c r="J394" i="1"/>
  <c r="I394" i="1"/>
  <c r="H394" i="1"/>
  <c r="K394" i="1" s="1"/>
  <c r="A418" i="1"/>
  <c r="B394" i="1"/>
  <c r="K371" i="1"/>
  <c r="B405" i="1"/>
  <c r="A429" i="1"/>
  <c r="J405" i="1"/>
  <c r="I405" i="1"/>
  <c r="H405" i="1"/>
  <c r="K405" i="1" s="1"/>
  <c r="M431" i="1"/>
  <c r="L431" i="1"/>
  <c r="M338" i="1"/>
  <c r="L338" i="1"/>
  <c r="A423" i="1"/>
  <c r="J399" i="1"/>
  <c r="I399" i="1"/>
  <c r="H399" i="1"/>
  <c r="K399" i="1" s="1"/>
  <c r="B399" i="1"/>
  <c r="M348" i="1"/>
  <c r="L348" i="1"/>
  <c r="I402" i="1"/>
  <c r="H402" i="1"/>
  <c r="J402" i="1"/>
  <c r="B402" i="1"/>
  <c r="A426" i="1"/>
  <c r="K381" i="1"/>
  <c r="L168" i="1"/>
  <c r="M168" i="1"/>
  <c r="K191" i="1"/>
  <c r="A204" i="1"/>
  <c r="J180" i="1"/>
  <c r="I180" i="1"/>
  <c r="H180" i="1"/>
  <c r="K180" i="1" s="1"/>
  <c r="B180" i="1"/>
  <c r="A235" i="1"/>
  <c r="J211" i="1"/>
  <c r="H211" i="1"/>
  <c r="I211" i="1"/>
  <c r="B211" i="1"/>
  <c r="A220" i="1"/>
  <c r="J196" i="1"/>
  <c r="I196" i="1"/>
  <c r="H196" i="1"/>
  <c r="B196" i="1"/>
  <c r="L129" i="1"/>
  <c r="M129" i="1"/>
  <c r="K135" i="1"/>
  <c r="L188" i="1"/>
  <c r="M188" i="1"/>
  <c r="L147" i="1"/>
  <c r="M147" i="1"/>
  <c r="K190" i="1"/>
  <c r="H182" i="1"/>
  <c r="I182" i="1"/>
  <c r="A206" i="1"/>
  <c r="J182" i="1"/>
  <c r="B182" i="1"/>
  <c r="L148" i="1"/>
  <c r="M148" i="1"/>
  <c r="M171" i="1"/>
  <c r="L171" i="1"/>
  <c r="L114" i="1"/>
  <c r="M114" i="1"/>
  <c r="K136" i="1"/>
  <c r="K138" i="1"/>
  <c r="A203" i="1"/>
  <c r="J179" i="1"/>
  <c r="H179" i="1"/>
  <c r="I179" i="1"/>
  <c r="B179" i="1"/>
  <c r="L112" i="1"/>
  <c r="M112" i="1"/>
  <c r="L151" i="1"/>
  <c r="M151" i="1"/>
  <c r="M187" i="1"/>
  <c r="L187" i="1"/>
  <c r="L156" i="1"/>
  <c r="M156" i="1"/>
  <c r="J192" i="1"/>
  <c r="H192" i="1"/>
  <c r="I192" i="1"/>
  <c r="A216" i="1"/>
  <c r="B192" i="1"/>
  <c r="J160" i="1"/>
  <c r="I160" i="1"/>
  <c r="A184" i="1"/>
  <c r="H160" i="1"/>
  <c r="K160" i="1" s="1"/>
  <c r="B160" i="1"/>
  <c r="A237" i="1"/>
  <c r="J213" i="1"/>
  <c r="H213" i="1"/>
  <c r="B213" i="1"/>
  <c r="I213" i="1"/>
  <c r="K169" i="1"/>
  <c r="J193" i="1"/>
  <c r="I193" i="1"/>
  <c r="H193" i="1"/>
  <c r="B193" i="1"/>
  <c r="A217" i="1"/>
  <c r="L111" i="1"/>
  <c r="M111" i="1"/>
  <c r="A219" i="1"/>
  <c r="J195" i="1"/>
  <c r="H195" i="1"/>
  <c r="I195" i="1"/>
  <c r="B195" i="1"/>
  <c r="J176" i="1"/>
  <c r="H176" i="1"/>
  <c r="I176" i="1"/>
  <c r="A200" i="1"/>
  <c r="B176" i="1"/>
  <c r="K175" i="1"/>
  <c r="L166" i="1"/>
  <c r="M166" i="1"/>
  <c r="K189" i="1"/>
  <c r="A236" i="1"/>
  <c r="J212" i="1"/>
  <c r="H212" i="1"/>
  <c r="I212" i="1"/>
  <c r="B212" i="1"/>
  <c r="L130" i="1"/>
  <c r="M130" i="1"/>
  <c r="K158" i="1"/>
  <c r="K172" i="1"/>
  <c r="K155" i="1"/>
  <c r="K137" i="1"/>
  <c r="K152" i="1"/>
  <c r="L150" i="1"/>
  <c r="M150" i="1"/>
  <c r="L128" i="1"/>
  <c r="M128" i="1"/>
  <c r="K174" i="1"/>
  <c r="L134" i="1"/>
  <c r="M134" i="1"/>
  <c r="L131" i="1"/>
  <c r="M131" i="1"/>
  <c r="J162" i="1"/>
  <c r="H162" i="1"/>
  <c r="I162" i="1"/>
  <c r="A186" i="1"/>
  <c r="B162" i="1"/>
  <c r="K242" i="1"/>
  <c r="J177" i="1"/>
  <c r="I177" i="1"/>
  <c r="H177" i="1"/>
  <c r="A201" i="1"/>
  <c r="B177" i="1"/>
  <c r="K154" i="1"/>
  <c r="L167" i="1"/>
  <c r="M167" i="1"/>
  <c r="J159" i="1"/>
  <c r="H159" i="1"/>
  <c r="I159" i="1"/>
  <c r="A183" i="1"/>
  <c r="B159" i="1"/>
  <c r="J178" i="1"/>
  <c r="B178" i="1"/>
  <c r="H178" i="1"/>
  <c r="I178" i="1"/>
  <c r="A202" i="1"/>
  <c r="L165" i="1"/>
  <c r="M165" i="1"/>
  <c r="H199" i="1"/>
  <c r="I199" i="1"/>
  <c r="A223" i="1"/>
  <c r="J199" i="1"/>
  <c r="B199" i="1"/>
  <c r="A222" i="1"/>
  <c r="J198" i="1"/>
  <c r="B198" i="1"/>
  <c r="H198" i="1"/>
  <c r="I198" i="1"/>
  <c r="L133" i="1"/>
  <c r="M133" i="1"/>
  <c r="L149" i="1"/>
  <c r="M149" i="1"/>
  <c r="H215" i="1"/>
  <c r="I215" i="1"/>
  <c r="A239" i="1"/>
  <c r="J215" i="1"/>
  <c r="B215" i="1"/>
  <c r="A238" i="1"/>
  <c r="J214" i="1"/>
  <c r="B214" i="1"/>
  <c r="H214" i="1"/>
  <c r="I214" i="1"/>
  <c r="K157" i="1"/>
  <c r="A221" i="1"/>
  <c r="J197" i="1"/>
  <c r="H197" i="1"/>
  <c r="I197" i="1"/>
  <c r="B197" i="1"/>
  <c r="L164" i="1"/>
  <c r="M164" i="1"/>
  <c r="K173" i="1"/>
  <c r="L132" i="1"/>
  <c r="M132" i="1"/>
  <c r="J161" i="1"/>
  <c r="H161" i="1"/>
  <c r="I161" i="1"/>
  <c r="B161" i="1"/>
  <c r="A185" i="1"/>
  <c r="M218" i="1"/>
  <c r="L218" i="1"/>
  <c r="A205" i="1"/>
  <c r="J181" i="1"/>
  <c r="H181" i="1"/>
  <c r="I181" i="1"/>
  <c r="B181" i="1"/>
  <c r="K153" i="1"/>
  <c r="L113" i="1"/>
  <c r="M113" i="1"/>
  <c r="L386" i="1" l="1"/>
  <c r="M386" i="1"/>
  <c r="L396" i="1"/>
  <c r="M396" i="1"/>
  <c r="J454" i="1"/>
  <c r="I454" i="1"/>
  <c r="H454" i="1"/>
  <c r="K454" i="1" s="1"/>
  <c r="B454" i="1"/>
  <c r="A478" i="1"/>
  <c r="M403" i="1"/>
  <c r="L403" i="1"/>
  <c r="L425" i="1"/>
  <c r="M425" i="1"/>
  <c r="J428" i="1"/>
  <c r="A452" i="1"/>
  <c r="I428" i="1"/>
  <c r="H428" i="1"/>
  <c r="B428" i="1"/>
  <c r="L371" i="1"/>
  <c r="M371" i="1"/>
  <c r="M399" i="1"/>
  <c r="L399" i="1"/>
  <c r="M430" i="1"/>
  <c r="L430" i="1"/>
  <c r="I419" i="1"/>
  <c r="H419" i="1"/>
  <c r="B419" i="1"/>
  <c r="A443" i="1"/>
  <c r="J419" i="1"/>
  <c r="M390" i="1"/>
  <c r="L390" i="1"/>
  <c r="J479" i="1"/>
  <c r="I479" i="1"/>
  <c r="H479" i="1"/>
  <c r="A503" i="1"/>
  <c r="B479" i="1"/>
  <c r="J433" i="1"/>
  <c r="I433" i="1"/>
  <c r="H433" i="1"/>
  <c r="K433" i="1" s="1"/>
  <c r="A457" i="1"/>
  <c r="B433" i="1"/>
  <c r="I418" i="1"/>
  <c r="H418" i="1"/>
  <c r="J418" i="1"/>
  <c r="B418" i="1"/>
  <c r="A442" i="1"/>
  <c r="L404" i="1"/>
  <c r="M404" i="1"/>
  <c r="K395" i="1"/>
  <c r="B448" i="1"/>
  <c r="A472" i="1"/>
  <c r="J448" i="1"/>
  <c r="I448" i="1"/>
  <c r="H448" i="1"/>
  <c r="K448" i="1" s="1"/>
  <c r="M365" i="1"/>
  <c r="L365" i="1"/>
  <c r="B440" i="1"/>
  <c r="A464" i="1"/>
  <c r="H440" i="1"/>
  <c r="J440" i="1"/>
  <c r="I440" i="1"/>
  <c r="M388" i="1"/>
  <c r="L388" i="1"/>
  <c r="M394" i="1"/>
  <c r="L394" i="1"/>
  <c r="B432" i="1"/>
  <c r="A456" i="1"/>
  <c r="I432" i="1"/>
  <c r="H432" i="1"/>
  <c r="J432" i="1"/>
  <c r="I435" i="1"/>
  <c r="H435" i="1"/>
  <c r="B435" i="1"/>
  <c r="A459" i="1"/>
  <c r="J435" i="1"/>
  <c r="J441" i="1"/>
  <c r="I441" i="1"/>
  <c r="H441" i="1"/>
  <c r="K441" i="1" s="1"/>
  <c r="B441" i="1"/>
  <c r="A465" i="1"/>
  <c r="M372" i="1"/>
  <c r="L372" i="1"/>
  <c r="L409" i="1"/>
  <c r="M409" i="1"/>
  <c r="J426" i="1"/>
  <c r="I426" i="1"/>
  <c r="H426" i="1"/>
  <c r="K426" i="1" s="1"/>
  <c r="B426" i="1"/>
  <c r="A450" i="1"/>
  <c r="L405" i="1"/>
  <c r="M405" i="1"/>
  <c r="M417" i="1"/>
  <c r="L417" i="1"/>
  <c r="J412" i="1"/>
  <c r="I412" i="1"/>
  <c r="H412" i="1"/>
  <c r="K412" i="1" s="1"/>
  <c r="A436" i="1"/>
  <c r="B412" i="1"/>
  <c r="B439" i="1"/>
  <c r="A463" i="1"/>
  <c r="J439" i="1"/>
  <c r="I439" i="1"/>
  <c r="H439" i="1"/>
  <c r="K439" i="1" s="1"/>
  <c r="M397" i="1"/>
  <c r="L397" i="1"/>
  <c r="I451" i="1"/>
  <c r="H451" i="1"/>
  <c r="B451" i="1"/>
  <c r="A475" i="1"/>
  <c r="J451" i="1"/>
  <c r="B421" i="1"/>
  <c r="A445" i="1"/>
  <c r="J421" i="1"/>
  <c r="I421" i="1"/>
  <c r="H421" i="1"/>
  <c r="K421" i="1" s="1"/>
  <c r="K416" i="1"/>
  <c r="K411" i="1"/>
  <c r="M389" i="1"/>
  <c r="L389" i="1"/>
  <c r="M381" i="1"/>
  <c r="L381" i="1"/>
  <c r="J438" i="1"/>
  <c r="I438" i="1"/>
  <c r="H438" i="1"/>
  <c r="K438" i="1" s="1"/>
  <c r="A462" i="1"/>
  <c r="B438" i="1"/>
  <c r="B413" i="1"/>
  <c r="A437" i="1"/>
  <c r="J413" i="1"/>
  <c r="I413" i="1"/>
  <c r="H413" i="1"/>
  <c r="K413" i="1" s="1"/>
  <c r="K408" i="1"/>
  <c r="B423" i="1"/>
  <c r="J423" i="1"/>
  <c r="I423" i="1"/>
  <c r="H423" i="1"/>
  <c r="K423" i="1" s="1"/>
  <c r="A447" i="1"/>
  <c r="L455" i="1"/>
  <c r="M455" i="1"/>
  <c r="L400" i="1"/>
  <c r="M400" i="1"/>
  <c r="K414" i="1"/>
  <c r="K415" i="1"/>
  <c r="J446" i="1"/>
  <c r="I446" i="1"/>
  <c r="H446" i="1"/>
  <c r="B446" i="1"/>
  <c r="A470" i="1"/>
  <c r="M380" i="1"/>
  <c r="L380" i="1"/>
  <c r="K427" i="1"/>
  <c r="K424" i="1"/>
  <c r="K402" i="1"/>
  <c r="B429" i="1"/>
  <c r="A453" i="1"/>
  <c r="J429" i="1"/>
  <c r="I429" i="1"/>
  <c r="H429" i="1"/>
  <c r="K429" i="1" s="1"/>
  <c r="M387" i="1"/>
  <c r="L387" i="1"/>
  <c r="J420" i="1"/>
  <c r="I420" i="1"/>
  <c r="H420" i="1"/>
  <c r="K420" i="1" s="1"/>
  <c r="B420" i="1"/>
  <c r="A444" i="1"/>
  <c r="J449" i="1"/>
  <c r="I449" i="1"/>
  <c r="H449" i="1"/>
  <c r="K449" i="1" s="1"/>
  <c r="A473" i="1"/>
  <c r="B449" i="1"/>
  <c r="K422" i="1"/>
  <c r="J410" i="1"/>
  <c r="I410" i="1"/>
  <c r="H410" i="1"/>
  <c r="K410" i="1" s="1"/>
  <c r="A434" i="1"/>
  <c r="B410" i="1"/>
  <c r="I219" i="1"/>
  <c r="A243" i="1"/>
  <c r="H219" i="1"/>
  <c r="B219" i="1"/>
  <c r="J219" i="1"/>
  <c r="K219" i="1" s="1"/>
  <c r="K179" i="1"/>
  <c r="I216" i="1"/>
  <c r="A240" i="1"/>
  <c r="B216" i="1"/>
  <c r="H216" i="1"/>
  <c r="J216" i="1"/>
  <c r="K216" i="1" s="1"/>
  <c r="K182" i="1"/>
  <c r="L180" i="1"/>
  <c r="M180" i="1"/>
  <c r="K162" i="1"/>
  <c r="K195" i="1"/>
  <c r="K212" i="1"/>
  <c r="A260" i="1"/>
  <c r="H236" i="1"/>
  <c r="I236" i="1"/>
  <c r="B236" i="1"/>
  <c r="J236" i="1"/>
  <c r="K236" i="1" s="1"/>
  <c r="A241" i="1"/>
  <c r="J217" i="1"/>
  <c r="H217" i="1"/>
  <c r="I217" i="1"/>
  <c r="B217" i="1"/>
  <c r="H201" i="1"/>
  <c r="I201" i="1"/>
  <c r="A225" i="1"/>
  <c r="J201" i="1"/>
  <c r="B201" i="1"/>
  <c r="L175" i="1"/>
  <c r="M175" i="1"/>
  <c r="M136" i="1"/>
  <c r="L136" i="1"/>
  <c r="A209" i="1"/>
  <c r="I185" i="1"/>
  <c r="J185" i="1"/>
  <c r="B185" i="1"/>
  <c r="H185" i="1"/>
  <c r="K185" i="1" s="1"/>
  <c r="H183" i="1"/>
  <c r="I183" i="1"/>
  <c r="A207" i="1"/>
  <c r="B183" i="1"/>
  <c r="J183" i="1"/>
  <c r="A261" i="1"/>
  <c r="J237" i="1"/>
  <c r="K237" i="1" s="1"/>
  <c r="H237" i="1"/>
  <c r="I237" i="1"/>
  <c r="B237" i="1"/>
  <c r="L160" i="1"/>
  <c r="M160" i="1"/>
  <c r="M154" i="1"/>
  <c r="L154" i="1"/>
  <c r="L173" i="1"/>
  <c r="M173" i="1"/>
  <c r="M153" i="1"/>
  <c r="L153" i="1"/>
  <c r="L152" i="1"/>
  <c r="M152" i="1"/>
  <c r="K193" i="1"/>
  <c r="L135" i="1"/>
  <c r="M135" i="1"/>
  <c r="A246" i="1"/>
  <c r="I222" i="1"/>
  <c r="B222" i="1"/>
  <c r="H222" i="1"/>
  <c r="K222" i="1" s="1"/>
  <c r="J222" i="1"/>
  <c r="K159" i="1"/>
  <c r="L190" i="1"/>
  <c r="M190" i="1"/>
  <c r="K199" i="1"/>
  <c r="A227" i="1"/>
  <c r="I203" i="1"/>
  <c r="J203" i="1"/>
  <c r="B203" i="1"/>
  <c r="H203" i="1"/>
  <c r="M137" i="1"/>
  <c r="L137" i="1"/>
  <c r="H200" i="1"/>
  <c r="I200" i="1"/>
  <c r="A224" i="1"/>
  <c r="J200" i="1"/>
  <c r="K200" i="1" s="1"/>
  <c r="B200" i="1"/>
  <c r="M169" i="1"/>
  <c r="L169" i="1"/>
  <c r="A228" i="1"/>
  <c r="H204" i="1"/>
  <c r="I204" i="1"/>
  <c r="B204" i="1"/>
  <c r="J204" i="1"/>
  <c r="K204" i="1" s="1"/>
  <c r="J206" i="1"/>
  <c r="A230" i="1"/>
  <c r="B206" i="1"/>
  <c r="H206" i="1"/>
  <c r="K206" i="1" s="1"/>
  <c r="I206" i="1"/>
  <c r="K211" i="1"/>
  <c r="A259" i="1"/>
  <c r="H235" i="1"/>
  <c r="I235" i="1"/>
  <c r="J235" i="1"/>
  <c r="K235" i="1" s="1"/>
  <c r="B235" i="1"/>
  <c r="K215" i="1"/>
  <c r="L138" i="1"/>
  <c r="M138" i="1"/>
  <c r="A226" i="1"/>
  <c r="I202" i="1"/>
  <c r="J202" i="1"/>
  <c r="B202" i="1"/>
  <c r="H202" i="1"/>
  <c r="K202" i="1" s="1"/>
  <c r="K192" i="1"/>
  <c r="K177" i="1"/>
  <c r="L242" i="1"/>
  <c r="M242" i="1"/>
  <c r="A229" i="1"/>
  <c r="H205" i="1"/>
  <c r="I205" i="1"/>
  <c r="B205" i="1"/>
  <c r="J205" i="1"/>
  <c r="K205" i="1" s="1"/>
  <c r="L155" i="1"/>
  <c r="M155" i="1"/>
  <c r="L191" i="1"/>
  <c r="M191" i="1"/>
  <c r="A244" i="1"/>
  <c r="H220" i="1"/>
  <c r="I220" i="1"/>
  <c r="J220" i="1"/>
  <c r="K220" i="1" s="1"/>
  <c r="B220" i="1"/>
  <c r="A262" i="1"/>
  <c r="J238" i="1"/>
  <c r="I238" i="1"/>
  <c r="H238" i="1"/>
  <c r="K238" i="1" s="1"/>
  <c r="B238" i="1"/>
  <c r="J223" i="1"/>
  <c r="A247" i="1"/>
  <c r="B223" i="1"/>
  <c r="H223" i="1"/>
  <c r="I223" i="1"/>
  <c r="J239" i="1"/>
  <c r="A263" i="1"/>
  <c r="H239" i="1"/>
  <c r="I239" i="1"/>
  <c r="B239" i="1"/>
  <c r="L189" i="1"/>
  <c r="M189" i="1"/>
  <c r="K181" i="1"/>
  <c r="K197" i="1"/>
  <c r="A245" i="1"/>
  <c r="H221" i="1"/>
  <c r="I221" i="1"/>
  <c r="J221" i="1"/>
  <c r="K221" i="1" s="1"/>
  <c r="B221" i="1"/>
  <c r="K178" i="1"/>
  <c r="A210" i="1"/>
  <c r="J186" i="1"/>
  <c r="I186" i="1"/>
  <c r="B186" i="1"/>
  <c r="H186" i="1"/>
  <c r="K186" i="1" s="1"/>
  <c r="L172" i="1"/>
  <c r="M172" i="1"/>
  <c r="K176" i="1"/>
  <c r="K214" i="1"/>
  <c r="K161" i="1"/>
  <c r="H184" i="1"/>
  <c r="A208" i="1"/>
  <c r="I184" i="1"/>
  <c r="J184" i="1"/>
  <c r="K184" i="1" s="1"/>
  <c r="B184" i="1"/>
  <c r="L174" i="1"/>
  <c r="M174" i="1"/>
  <c r="L157" i="1"/>
  <c r="M157" i="1"/>
  <c r="K198" i="1"/>
  <c r="L158" i="1"/>
  <c r="M158" i="1"/>
  <c r="K213" i="1"/>
  <c r="K196" i="1"/>
  <c r="L412" i="1" l="1"/>
  <c r="M412" i="1"/>
  <c r="I434" i="1"/>
  <c r="H434" i="1"/>
  <c r="A458" i="1"/>
  <c r="J434" i="1"/>
  <c r="B434" i="1"/>
  <c r="L415" i="1"/>
  <c r="M415" i="1"/>
  <c r="J452" i="1"/>
  <c r="I452" i="1"/>
  <c r="A476" i="1"/>
  <c r="H452" i="1"/>
  <c r="K452" i="1" s="1"/>
  <c r="B452" i="1"/>
  <c r="M414" i="1"/>
  <c r="L414" i="1"/>
  <c r="M438" i="1"/>
  <c r="L438" i="1"/>
  <c r="I443" i="1"/>
  <c r="H443" i="1"/>
  <c r="B443" i="1"/>
  <c r="A467" i="1"/>
  <c r="J443" i="1"/>
  <c r="B445" i="1"/>
  <c r="A469" i="1"/>
  <c r="J445" i="1"/>
  <c r="I445" i="1"/>
  <c r="H445" i="1"/>
  <c r="K445" i="1" s="1"/>
  <c r="I475" i="1"/>
  <c r="H475" i="1"/>
  <c r="K475" i="1" s="1"/>
  <c r="B475" i="1"/>
  <c r="A499" i="1"/>
  <c r="J475" i="1"/>
  <c r="B453" i="1"/>
  <c r="A477" i="1"/>
  <c r="J453" i="1"/>
  <c r="I453" i="1"/>
  <c r="H453" i="1"/>
  <c r="K453" i="1" s="1"/>
  <c r="J442" i="1"/>
  <c r="I442" i="1"/>
  <c r="H442" i="1"/>
  <c r="K442" i="1" s="1"/>
  <c r="A466" i="1"/>
  <c r="B442" i="1"/>
  <c r="J478" i="1"/>
  <c r="I478" i="1"/>
  <c r="H478" i="1"/>
  <c r="K478" i="1" s="1"/>
  <c r="B478" i="1"/>
  <c r="A502" i="1"/>
  <c r="K418" i="1"/>
  <c r="L433" i="1"/>
  <c r="M433" i="1"/>
  <c r="M454" i="1"/>
  <c r="L454" i="1"/>
  <c r="K451" i="1"/>
  <c r="B464" i="1"/>
  <c r="A488" i="1"/>
  <c r="J464" i="1"/>
  <c r="I464" i="1"/>
  <c r="H464" i="1"/>
  <c r="K464" i="1" s="1"/>
  <c r="L439" i="1"/>
  <c r="M439" i="1"/>
  <c r="M448" i="1"/>
  <c r="L448" i="1"/>
  <c r="B437" i="1"/>
  <c r="A461" i="1"/>
  <c r="J437" i="1"/>
  <c r="I437" i="1"/>
  <c r="H437" i="1"/>
  <c r="K437" i="1" s="1"/>
  <c r="J462" i="1"/>
  <c r="I462" i="1"/>
  <c r="H462" i="1"/>
  <c r="K462" i="1" s="1"/>
  <c r="B462" i="1"/>
  <c r="A486" i="1"/>
  <c r="M422" i="1"/>
  <c r="L422" i="1"/>
  <c r="K419" i="1"/>
  <c r="J447" i="1"/>
  <c r="I447" i="1"/>
  <c r="H447" i="1"/>
  <c r="K447" i="1" s="1"/>
  <c r="B447" i="1"/>
  <c r="A471" i="1"/>
  <c r="L423" i="1"/>
  <c r="M423" i="1"/>
  <c r="L426" i="1"/>
  <c r="M426" i="1"/>
  <c r="L411" i="1"/>
  <c r="M411" i="1"/>
  <c r="K432" i="1"/>
  <c r="L410" i="1"/>
  <c r="M410" i="1"/>
  <c r="J473" i="1"/>
  <c r="I473" i="1"/>
  <c r="H473" i="1"/>
  <c r="K473" i="1" s="1"/>
  <c r="B473" i="1"/>
  <c r="A497" i="1"/>
  <c r="J470" i="1"/>
  <c r="I470" i="1"/>
  <c r="H470" i="1"/>
  <c r="B470" i="1"/>
  <c r="A494" i="1"/>
  <c r="M408" i="1"/>
  <c r="L408" i="1"/>
  <c r="M416" i="1"/>
  <c r="L416" i="1"/>
  <c r="I463" i="1"/>
  <c r="J463" i="1"/>
  <c r="H463" i="1"/>
  <c r="K463" i="1" s="1"/>
  <c r="B463" i="1"/>
  <c r="A487" i="1"/>
  <c r="J465" i="1"/>
  <c r="I465" i="1"/>
  <c r="H465" i="1"/>
  <c r="K465" i="1" s="1"/>
  <c r="B465" i="1"/>
  <c r="A489" i="1"/>
  <c r="L429" i="1"/>
  <c r="M429" i="1"/>
  <c r="L449" i="1"/>
  <c r="M449" i="1"/>
  <c r="L420" i="1"/>
  <c r="M420" i="1"/>
  <c r="L413" i="1"/>
  <c r="M413" i="1"/>
  <c r="M421" i="1"/>
  <c r="L421" i="1"/>
  <c r="B456" i="1"/>
  <c r="A480" i="1"/>
  <c r="J456" i="1"/>
  <c r="I456" i="1"/>
  <c r="H456" i="1"/>
  <c r="B472" i="1"/>
  <c r="A496" i="1"/>
  <c r="I472" i="1"/>
  <c r="H472" i="1"/>
  <c r="J472" i="1"/>
  <c r="J503" i="1"/>
  <c r="I503" i="1"/>
  <c r="H503" i="1"/>
  <c r="K503" i="1" s="1"/>
  <c r="B503" i="1"/>
  <c r="L441" i="1"/>
  <c r="M441" i="1"/>
  <c r="K440" i="1"/>
  <c r="I459" i="1"/>
  <c r="H459" i="1"/>
  <c r="K459" i="1" s="1"/>
  <c r="B459" i="1"/>
  <c r="A483" i="1"/>
  <c r="J459" i="1"/>
  <c r="L402" i="1"/>
  <c r="M402" i="1"/>
  <c r="M424" i="1"/>
  <c r="L424" i="1"/>
  <c r="J457" i="1"/>
  <c r="I457" i="1"/>
  <c r="H457" i="1"/>
  <c r="K457" i="1" s="1"/>
  <c r="A481" i="1"/>
  <c r="B457" i="1"/>
  <c r="M427" i="1"/>
  <c r="L427" i="1"/>
  <c r="J444" i="1"/>
  <c r="I444" i="1"/>
  <c r="A468" i="1"/>
  <c r="H444" i="1"/>
  <c r="B444" i="1"/>
  <c r="K446" i="1"/>
  <c r="K479" i="1"/>
  <c r="J450" i="1"/>
  <c r="A474" i="1"/>
  <c r="I450" i="1"/>
  <c r="H450" i="1"/>
  <c r="K450" i="1" s="1"/>
  <c r="B450" i="1"/>
  <c r="K435" i="1"/>
  <c r="J436" i="1"/>
  <c r="I436" i="1"/>
  <c r="H436" i="1"/>
  <c r="K436" i="1" s="1"/>
  <c r="A460" i="1"/>
  <c r="B436" i="1"/>
  <c r="L395" i="1"/>
  <c r="M395" i="1"/>
  <c r="K428" i="1"/>
  <c r="M237" i="1"/>
  <c r="L237" i="1"/>
  <c r="J244" i="1"/>
  <c r="H244" i="1"/>
  <c r="I244" i="1"/>
  <c r="B244" i="1"/>
  <c r="K203" i="1"/>
  <c r="M186" i="1"/>
  <c r="L186" i="1"/>
  <c r="J263" i="1"/>
  <c r="B263" i="1"/>
  <c r="H263" i="1"/>
  <c r="I263" i="1"/>
  <c r="L182" i="1"/>
  <c r="M182" i="1"/>
  <c r="J210" i="1"/>
  <c r="K210" i="1" s="1"/>
  <c r="I210" i="1"/>
  <c r="B210" i="1"/>
  <c r="H210" i="1"/>
  <c r="A234" i="1"/>
  <c r="L178" i="1"/>
  <c r="M178" i="1"/>
  <c r="M221" i="1"/>
  <c r="L221" i="1"/>
  <c r="L192" i="1"/>
  <c r="M192" i="1"/>
  <c r="K201" i="1"/>
  <c r="J226" i="1"/>
  <c r="I226" i="1"/>
  <c r="H226" i="1"/>
  <c r="A250" i="1"/>
  <c r="B226" i="1"/>
  <c r="L184" i="1"/>
  <c r="M184" i="1"/>
  <c r="L215" i="1"/>
  <c r="M215" i="1"/>
  <c r="M236" i="1"/>
  <c r="L236" i="1"/>
  <c r="L179" i="1"/>
  <c r="M179" i="1"/>
  <c r="M220" i="1"/>
  <c r="L220" i="1"/>
  <c r="L195" i="1"/>
  <c r="M195" i="1"/>
  <c r="J225" i="1"/>
  <c r="B225" i="1"/>
  <c r="H225" i="1"/>
  <c r="I225" i="1"/>
  <c r="A249" i="1"/>
  <c r="K239" i="1"/>
  <c r="L238" i="1"/>
  <c r="M238" i="1"/>
  <c r="J209" i="1"/>
  <c r="H209" i="1"/>
  <c r="I209" i="1"/>
  <c r="A233" i="1"/>
  <c r="B209" i="1"/>
  <c r="L219" i="1"/>
  <c r="M219" i="1"/>
  <c r="L202" i="1"/>
  <c r="M202" i="1"/>
  <c r="K223" i="1"/>
  <c r="L162" i="1"/>
  <c r="M162" i="1"/>
  <c r="L198" i="1"/>
  <c r="M198" i="1"/>
  <c r="L216" i="1"/>
  <c r="M216" i="1"/>
  <c r="K217" i="1"/>
  <c r="L205" i="1"/>
  <c r="M205" i="1"/>
  <c r="J241" i="1"/>
  <c r="I241" i="1"/>
  <c r="A265" i="1"/>
  <c r="H241" i="1"/>
  <c r="B241" i="1"/>
  <c r="J208" i="1"/>
  <c r="H208" i="1"/>
  <c r="I208" i="1"/>
  <c r="A232" i="1"/>
  <c r="B208" i="1"/>
  <c r="L159" i="1"/>
  <c r="M159" i="1"/>
  <c r="J245" i="1"/>
  <c r="H245" i="1"/>
  <c r="B245" i="1"/>
  <c r="I245" i="1"/>
  <c r="L161" i="1"/>
  <c r="M161" i="1"/>
  <c r="A253" i="1"/>
  <c r="J229" i="1"/>
  <c r="H229" i="1"/>
  <c r="I229" i="1"/>
  <c r="B229" i="1"/>
  <c r="L181" i="1"/>
  <c r="M181" i="1"/>
  <c r="J259" i="1"/>
  <c r="I259" i="1"/>
  <c r="B259" i="1"/>
  <c r="H259" i="1"/>
  <c r="K259" i="1" s="1"/>
  <c r="J224" i="1"/>
  <c r="A248" i="1"/>
  <c r="B224" i="1"/>
  <c r="H224" i="1"/>
  <c r="I224" i="1"/>
  <c r="L206" i="1"/>
  <c r="M206" i="1"/>
  <c r="L193" i="1"/>
  <c r="M193" i="1"/>
  <c r="H207" i="1"/>
  <c r="J207" i="1"/>
  <c r="I207" i="1"/>
  <c r="A231" i="1"/>
  <c r="B207" i="1"/>
  <c r="A251" i="1"/>
  <c r="J227" i="1"/>
  <c r="H227" i="1"/>
  <c r="B227" i="1"/>
  <c r="I227" i="1"/>
  <c r="L185" i="1"/>
  <c r="M185" i="1"/>
  <c r="J247" i="1"/>
  <c r="B247" i="1"/>
  <c r="H247" i="1"/>
  <c r="I247" i="1"/>
  <c r="J240" i="1"/>
  <c r="A264" i="1"/>
  <c r="H240" i="1"/>
  <c r="K240" i="1" s="1"/>
  <c r="I240" i="1"/>
  <c r="B240" i="1"/>
  <c r="L222" i="1"/>
  <c r="M222" i="1"/>
  <c r="L196" i="1"/>
  <c r="M196" i="1"/>
  <c r="L176" i="1"/>
  <c r="M176" i="1"/>
  <c r="J262" i="1"/>
  <c r="B262" i="1"/>
  <c r="H262" i="1"/>
  <c r="I262" i="1"/>
  <c r="L211" i="1"/>
  <c r="M211" i="1"/>
  <c r="J260" i="1"/>
  <c r="H260" i="1"/>
  <c r="K260" i="1" s="1"/>
  <c r="I260" i="1"/>
  <c r="B260" i="1"/>
  <c r="J243" i="1"/>
  <c r="I243" i="1"/>
  <c r="B243" i="1"/>
  <c r="H243" i="1"/>
  <c r="K243" i="1" s="1"/>
  <c r="J261" i="1"/>
  <c r="H261" i="1"/>
  <c r="I261" i="1"/>
  <c r="B261" i="1"/>
  <c r="A254" i="1"/>
  <c r="J230" i="1"/>
  <c r="B230" i="1"/>
  <c r="I230" i="1"/>
  <c r="H230" i="1"/>
  <c r="K230" i="1" s="1"/>
  <c r="M204" i="1"/>
  <c r="L204" i="1"/>
  <c r="K183" i="1"/>
  <c r="L199" i="1"/>
  <c r="M199" i="1"/>
  <c r="A252" i="1"/>
  <c r="J228" i="1"/>
  <c r="H228" i="1"/>
  <c r="I228" i="1"/>
  <c r="B228" i="1"/>
  <c r="L235" i="1"/>
  <c r="M235" i="1"/>
  <c r="L197" i="1"/>
  <c r="M197" i="1"/>
  <c r="L200" i="1"/>
  <c r="M200" i="1"/>
  <c r="L214" i="1"/>
  <c r="M214" i="1"/>
  <c r="L213" i="1"/>
  <c r="M213" i="1"/>
  <c r="L177" i="1"/>
  <c r="M177" i="1"/>
  <c r="J246" i="1"/>
  <c r="H246" i="1"/>
  <c r="I246" i="1"/>
  <c r="B246" i="1"/>
  <c r="L212" i="1"/>
  <c r="M212" i="1"/>
  <c r="M445" i="1" l="1"/>
  <c r="L445" i="1"/>
  <c r="J460" i="1"/>
  <c r="I460" i="1"/>
  <c r="A484" i="1"/>
  <c r="H460" i="1"/>
  <c r="K460" i="1" s="1"/>
  <c r="B460" i="1"/>
  <c r="L436" i="1"/>
  <c r="M436" i="1"/>
  <c r="J502" i="1"/>
  <c r="I502" i="1"/>
  <c r="H502" i="1"/>
  <c r="K502" i="1" s="1"/>
  <c r="B502" i="1"/>
  <c r="M475" i="1"/>
  <c r="L475" i="1"/>
  <c r="J487" i="1"/>
  <c r="I487" i="1"/>
  <c r="H487" i="1"/>
  <c r="B487" i="1"/>
  <c r="J476" i="1"/>
  <c r="I476" i="1"/>
  <c r="A500" i="1"/>
  <c r="H476" i="1"/>
  <c r="K476" i="1" s="1"/>
  <c r="B476" i="1"/>
  <c r="M435" i="1"/>
  <c r="L435" i="1"/>
  <c r="M473" i="1"/>
  <c r="L473" i="1"/>
  <c r="J497" i="1"/>
  <c r="I497" i="1"/>
  <c r="H497" i="1"/>
  <c r="K497" i="1" s="1"/>
  <c r="B497" i="1"/>
  <c r="L464" i="1"/>
  <c r="M464" i="1"/>
  <c r="B480" i="1"/>
  <c r="A504" i="1"/>
  <c r="J480" i="1"/>
  <c r="I480" i="1"/>
  <c r="H480" i="1"/>
  <c r="K480" i="1" s="1"/>
  <c r="L452" i="1"/>
  <c r="M452" i="1"/>
  <c r="J486" i="1"/>
  <c r="I486" i="1"/>
  <c r="H486" i="1"/>
  <c r="K486" i="1" s="1"/>
  <c r="B486" i="1"/>
  <c r="L450" i="1"/>
  <c r="M450" i="1"/>
  <c r="M432" i="1"/>
  <c r="L432" i="1"/>
  <c r="L463" i="1"/>
  <c r="M463" i="1"/>
  <c r="L453" i="1"/>
  <c r="M453" i="1"/>
  <c r="I467" i="1"/>
  <c r="H467" i="1"/>
  <c r="B467" i="1"/>
  <c r="A491" i="1"/>
  <c r="J467" i="1"/>
  <c r="I499" i="1"/>
  <c r="H499" i="1"/>
  <c r="B499" i="1"/>
  <c r="J499" i="1"/>
  <c r="M478" i="1"/>
  <c r="L478" i="1"/>
  <c r="K472" i="1"/>
  <c r="H458" i="1"/>
  <c r="B458" i="1"/>
  <c r="J458" i="1"/>
  <c r="A482" i="1"/>
  <c r="I458" i="1"/>
  <c r="M465" i="1"/>
  <c r="L465" i="1"/>
  <c r="M459" i="1"/>
  <c r="L459" i="1"/>
  <c r="M503" i="1"/>
  <c r="L503" i="1"/>
  <c r="B469" i="1"/>
  <c r="A493" i="1"/>
  <c r="J469" i="1"/>
  <c r="I469" i="1"/>
  <c r="H469" i="1"/>
  <c r="M462" i="1"/>
  <c r="L462" i="1"/>
  <c r="L479" i="1"/>
  <c r="M479" i="1"/>
  <c r="J494" i="1"/>
  <c r="I494" i="1"/>
  <c r="H494" i="1"/>
  <c r="K494" i="1" s="1"/>
  <c r="B494" i="1"/>
  <c r="M437" i="1"/>
  <c r="L437" i="1"/>
  <c r="K443" i="1"/>
  <c r="K434" i="1"/>
  <c r="M440" i="1"/>
  <c r="L440" i="1"/>
  <c r="J481" i="1"/>
  <c r="I481" i="1"/>
  <c r="H481" i="1"/>
  <c r="B481" i="1"/>
  <c r="A505" i="1"/>
  <c r="M457" i="1"/>
  <c r="L457" i="1"/>
  <c r="M446" i="1"/>
  <c r="L446" i="1"/>
  <c r="B496" i="1"/>
  <c r="I496" i="1"/>
  <c r="H496" i="1"/>
  <c r="J496" i="1"/>
  <c r="B477" i="1"/>
  <c r="A501" i="1"/>
  <c r="J477" i="1"/>
  <c r="H477" i="1"/>
  <c r="K477" i="1" s="1"/>
  <c r="I477" i="1"/>
  <c r="M419" i="1"/>
  <c r="L419" i="1"/>
  <c r="M442" i="1"/>
  <c r="L442" i="1"/>
  <c r="H474" i="1"/>
  <c r="A498" i="1"/>
  <c r="B474" i="1"/>
  <c r="J474" i="1"/>
  <c r="I474" i="1"/>
  <c r="L428" i="1"/>
  <c r="M428" i="1"/>
  <c r="J489" i="1"/>
  <c r="I489" i="1"/>
  <c r="H489" i="1"/>
  <c r="K489" i="1" s="1"/>
  <c r="B489" i="1"/>
  <c r="K470" i="1"/>
  <c r="J468" i="1"/>
  <c r="I468" i="1"/>
  <c r="A492" i="1"/>
  <c r="H468" i="1"/>
  <c r="K468" i="1" s="1"/>
  <c r="B468" i="1"/>
  <c r="L447" i="1"/>
  <c r="M447" i="1"/>
  <c r="H466" i="1"/>
  <c r="J466" i="1"/>
  <c r="I466" i="1"/>
  <c r="B466" i="1"/>
  <c r="A490" i="1"/>
  <c r="B488" i="1"/>
  <c r="H488" i="1"/>
  <c r="J488" i="1"/>
  <c r="I488" i="1"/>
  <c r="M451" i="1"/>
  <c r="L451" i="1"/>
  <c r="K444" i="1"/>
  <c r="I483" i="1"/>
  <c r="H483" i="1"/>
  <c r="B483" i="1"/>
  <c r="J483" i="1"/>
  <c r="K456" i="1"/>
  <c r="I471" i="1"/>
  <c r="A495" i="1"/>
  <c r="J471" i="1"/>
  <c r="H471" i="1"/>
  <c r="K471" i="1" s="1"/>
  <c r="B471" i="1"/>
  <c r="B461" i="1"/>
  <c r="A485" i="1"/>
  <c r="J461" i="1"/>
  <c r="I461" i="1"/>
  <c r="H461" i="1"/>
  <c r="K461" i="1" s="1"/>
  <c r="L418" i="1"/>
  <c r="M418" i="1"/>
  <c r="J264" i="1"/>
  <c r="B264" i="1"/>
  <c r="H264" i="1"/>
  <c r="I264" i="1"/>
  <c r="L223" i="1"/>
  <c r="M223" i="1"/>
  <c r="K263" i="1"/>
  <c r="L240" i="1"/>
  <c r="M240" i="1"/>
  <c r="K262" i="1"/>
  <c r="K207" i="1"/>
  <c r="M203" i="1"/>
  <c r="L203" i="1"/>
  <c r="K208" i="1"/>
  <c r="K247" i="1"/>
  <c r="K246" i="1"/>
  <c r="L260" i="1"/>
  <c r="M260" i="1"/>
  <c r="J250" i="1"/>
  <c r="I250" i="1"/>
  <c r="B250" i="1"/>
  <c r="H250" i="1"/>
  <c r="K250" i="1" s="1"/>
  <c r="K225" i="1"/>
  <c r="L201" i="1"/>
  <c r="M201" i="1"/>
  <c r="B253" i="1"/>
  <c r="J253" i="1"/>
  <c r="H253" i="1"/>
  <c r="I253" i="1"/>
  <c r="K224" i="1"/>
  <c r="K245" i="1"/>
  <c r="L217" i="1"/>
  <c r="M217" i="1"/>
  <c r="K209" i="1"/>
  <c r="K241" i="1"/>
  <c r="A258" i="1"/>
  <c r="J234" i="1"/>
  <c r="I234" i="1"/>
  <c r="B234" i="1"/>
  <c r="H234" i="1"/>
  <c r="K234" i="1" s="1"/>
  <c r="K244" i="1"/>
  <c r="L210" i="1"/>
  <c r="M210" i="1"/>
  <c r="K229" i="1"/>
  <c r="J265" i="1"/>
  <c r="B265" i="1"/>
  <c r="H265" i="1"/>
  <c r="I265" i="1"/>
  <c r="K261" i="1"/>
  <c r="A257" i="1"/>
  <c r="I233" i="1"/>
  <c r="H233" i="1"/>
  <c r="K233" i="1" s="1"/>
  <c r="J233" i="1"/>
  <c r="B233" i="1"/>
  <c r="K228" i="1"/>
  <c r="L243" i="1"/>
  <c r="M243" i="1"/>
  <c r="H252" i="1"/>
  <c r="J252" i="1"/>
  <c r="I252" i="1"/>
  <c r="B252" i="1"/>
  <c r="J251" i="1"/>
  <c r="I251" i="1"/>
  <c r="B251" i="1"/>
  <c r="H251" i="1"/>
  <c r="A256" i="1"/>
  <c r="J232" i="1"/>
  <c r="H232" i="1"/>
  <c r="I232" i="1"/>
  <c r="B232" i="1"/>
  <c r="K226" i="1"/>
  <c r="J254" i="1"/>
  <c r="B254" i="1"/>
  <c r="H254" i="1"/>
  <c r="I254" i="1"/>
  <c r="J248" i="1"/>
  <c r="H248" i="1"/>
  <c r="I248" i="1"/>
  <c r="B248" i="1"/>
  <c r="L259" i="1"/>
  <c r="M259" i="1"/>
  <c r="L183" i="1"/>
  <c r="M183" i="1"/>
  <c r="L239" i="1"/>
  <c r="M239" i="1"/>
  <c r="L230" i="1"/>
  <c r="M230" i="1"/>
  <c r="K227" i="1"/>
  <c r="A255" i="1"/>
  <c r="J231" i="1"/>
  <c r="H231" i="1"/>
  <c r="I231" i="1"/>
  <c r="B231" i="1"/>
  <c r="J249" i="1"/>
  <c r="B249" i="1"/>
  <c r="H249" i="1"/>
  <c r="K249" i="1" s="1"/>
  <c r="I249" i="1"/>
  <c r="L497" i="1" l="1"/>
  <c r="M497" i="1"/>
  <c r="M477" i="1"/>
  <c r="L477" i="1"/>
  <c r="B493" i="1"/>
  <c r="J493" i="1"/>
  <c r="I493" i="1"/>
  <c r="H493" i="1"/>
  <c r="K493" i="1" s="1"/>
  <c r="B501" i="1"/>
  <c r="J501" i="1"/>
  <c r="I501" i="1"/>
  <c r="H501" i="1"/>
  <c r="K501" i="1" s="1"/>
  <c r="M443" i="1"/>
  <c r="L443" i="1"/>
  <c r="K466" i="1"/>
  <c r="B485" i="1"/>
  <c r="J485" i="1"/>
  <c r="I485" i="1"/>
  <c r="H485" i="1"/>
  <c r="K485" i="1" s="1"/>
  <c r="L476" i="1"/>
  <c r="M476" i="1"/>
  <c r="J490" i="1"/>
  <c r="H490" i="1"/>
  <c r="I490" i="1"/>
  <c r="B490" i="1"/>
  <c r="M502" i="1"/>
  <c r="L502" i="1"/>
  <c r="L460" i="1"/>
  <c r="M460" i="1"/>
  <c r="M489" i="1"/>
  <c r="L489" i="1"/>
  <c r="L480" i="1"/>
  <c r="M480" i="1"/>
  <c r="L468" i="1"/>
  <c r="M468" i="1"/>
  <c r="H482" i="1"/>
  <c r="J482" i="1"/>
  <c r="I482" i="1"/>
  <c r="B482" i="1"/>
  <c r="J484" i="1"/>
  <c r="I484" i="1"/>
  <c r="H484" i="1"/>
  <c r="K484" i="1" s="1"/>
  <c r="B484" i="1"/>
  <c r="M456" i="1"/>
  <c r="L456" i="1"/>
  <c r="M494" i="1"/>
  <c r="L494" i="1"/>
  <c r="K467" i="1"/>
  <c r="J492" i="1"/>
  <c r="I492" i="1"/>
  <c r="H492" i="1"/>
  <c r="K492" i="1" s="1"/>
  <c r="B492" i="1"/>
  <c r="J505" i="1"/>
  <c r="I505" i="1"/>
  <c r="H505" i="1"/>
  <c r="K505" i="1" s="1"/>
  <c r="B505" i="1"/>
  <c r="B504" i="1"/>
  <c r="J504" i="1"/>
  <c r="I504" i="1"/>
  <c r="H504" i="1"/>
  <c r="K504" i="1" s="1"/>
  <c r="L434" i="1"/>
  <c r="M434" i="1"/>
  <c r="K499" i="1"/>
  <c r="K474" i="1"/>
  <c r="J500" i="1"/>
  <c r="I500" i="1"/>
  <c r="H500" i="1"/>
  <c r="K500" i="1" s="1"/>
  <c r="B500" i="1"/>
  <c r="L461" i="1"/>
  <c r="M461" i="1"/>
  <c r="K488" i="1"/>
  <c r="J495" i="1"/>
  <c r="I495" i="1"/>
  <c r="H495" i="1"/>
  <c r="K495" i="1" s="1"/>
  <c r="B495" i="1"/>
  <c r="I491" i="1"/>
  <c r="H491" i="1"/>
  <c r="B491" i="1"/>
  <c r="J491" i="1"/>
  <c r="K483" i="1"/>
  <c r="M444" i="1"/>
  <c r="L444" i="1"/>
  <c r="K481" i="1"/>
  <c r="K458" i="1"/>
  <c r="K487" i="1"/>
  <c r="L471" i="1"/>
  <c r="M471" i="1"/>
  <c r="M486" i="1"/>
  <c r="L486" i="1"/>
  <c r="K496" i="1"/>
  <c r="J498" i="1"/>
  <c r="H498" i="1"/>
  <c r="B498" i="1"/>
  <c r="I498" i="1"/>
  <c r="M470" i="1"/>
  <c r="L470" i="1"/>
  <c r="K469" i="1"/>
  <c r="L472" i="1"/>
  <c r="M472" i="1"/>
  <c r="L247" i="1"/>
  <c r="M247" i="1"/>
  <c r="L246" i="1"/>
  <c r="M246" i="1"/>
  <c r="L208" i="1"/>
  <c r="M208" i="1"/>
  <c r="K254" i="1"/>
  <c r="B255" i="1"/>
  <c r="J255" i="1"/>
  <c r="H255" i="1"/>
  <c r="I255" i="1"/>
  <c r="L245" i="1"/>
  <c r="M245" i="1"/>
  <c r="K231" i="1"/>
  <c r="L227" i="1"/>
  <c r="M227" i="1"/>
  <c r="L233" i="1"/>
  <c r="M233" i="1"/>
  <c r="L249" i="1"/>
  <c r="M249" i="1"/>
  <c r="K265" i="1"/>
  <c r="K252" i="1"/>
  <c r="L262" i="1"/>
  <c r="M262" i="1"/>
  <c r="L244" i="1"/>
  <c r="M244" i="1"/>
  <c r="L234" i="1"/>
  <c r="M234" i="1"/>
  <c r="L225" i="1"/>
  <c r="M225" i="1"/>
  <c r="K232" i="1"/>
  <c r="L241" i="1"/>
  <c r="M241" i="1"/>
  <c r="L224" i="1"/>
  <c r="M224" i="1"/>
  <c r="K248" i="1"/>
  <c r="K253" i="1"/>
  <c r="L226" i="1"/>
  <c r="M226" i="1"/>
  <c r="L228" i="1"/>
  <c r="M228" i="1"/>
  <c r="L250" i="1"/>
  <c r="M250" i="1"/>
  <c r="J258" i="1"/>
  <c r="B258" i="1"/>
  <c r="H258" i="1"/>
  <c r="I258" i="1"/>
  <c r="J256" i="1"/>
  <c r="B256" i="1"/>
  <c r="H256" i="1"/>
  <c r="I256" i="1"/>
  <c r="J257" i="1"/>
  <c r="B257" i="1"/>
  <c r="H257" i="1"/>
  <c r="I257" i="1"/>
  <c r="L209" i="1"/>
  <c r="M209" i="1"/>
  <c r="K251" i="1"/>
  <c r="L229" i="1"/>
  <c r="M229" i="1"/>
  <c r="L207" i="1"/>
  <c r="M207" i="1"/>
  <c r="L263" i="1"/>
  <c r="M263" i="1"/>
  <c r="L261" i="1"/>
  <c r="M261" i="1"/>
  <c r="K264" i="1"/>
  <c r="M474" i="1" l="1"/>
  <c r="L474" i="1"/>
  <c r="M499" i="1"/>
  <c r="L499" i="1"/>
  <c r="M501" i="1"/>
  <c r="L501" i="1"/>
  <c r="L495" i="1"/>
  <c r="M495" i="1"/>
  <c r="M467" i="1"/>
  <c r="L467" i="1"/>
  <c r="L496" i="1"/>
  <c r="M496" i="1"/>
  <c r="K498" i="1"/>
  <c r="L484" i="1"/>
  <c r="M484" i="1"/>
  <c r="K490" i="1"/>
  <c r="M481" i="1"/>
  <c r="L481" i="1"/>
  <c r="M485" i="1"/>
  <c r="L485" i="1"/>
  <c r="L466" i="1"/>
  <c r="M466" i="1"/>
  <c r="K491" i="1"/>
  <c r="L504" i="1"/>
  <c r="M504" i="1"/>
  <c r="M493" i="1"/>
  <c r="L493" i="1"/>
  <c r="L488" i="1"/>
  <c r="M488" i="1"/>
  <c r="M487" i="1"/>
  <c r="L487" i="1"/>
  <c r="L458" i="1"/>
  <c r="M458" i="1"/>
  <c r="K482" i="1"/>
  <c r="L492" i="1"/>
  <c r="M492" i="1"/>
  <c r="M483" i="1"/>
  <c r="L483" i="1"/>
  <c r="M505" i="1"/>
  <c r="L505" i="1"/>
  <c r="M500" i="1"/>
  <c r="L500" i="1"/>
  <c r="L469" i="1"/>
  <c r="M469" i="1"/>
  <c r="L231" i="1"/>
  <c r="M231" i="1"/>
  <c r="K255" i="1"/>
  <c r="M254" i="1"/>
  <c r="L254" i="1"/>
  <c r="L252" i="1"/>
  <c r="M252" i="1"/>
  <c r="L265" i="1"/>
  <c r="M265" i="1"/>
  <c r="L232" i="1"/>
  <c r="M232" i="1"/>
  <c r="K258" i="1"/>
  <c r="L251" i="1"/>
  <c r="M251" i="1"/>
  <c r="M253" i="1"/>
  <c r="L253" i="1"/>
  <c r="K257" i="1"/>
  <c r="L264" i="1"/>
  <c r="M264" i="1"/>
  <c r="K256" i="1"/>
  <c r="L248" i="1"/>
  <c r="M248" i="1"/>
  <c r="L498" i="1" l="1"/>
  <c r="M498" i="1"/>
  <c r="M490" i="1"/>
  <c r="L490" i="1"/>
  <c r="M491" i="1"/>
  <c r="L491" i="1"/>
  <c r="L482" i="1"/>
  <c r="M482" i="1"/>
  <c r="L258" i="1"/>
  <c r="M258" i="1"/>
  <c r="L256" i="1"/>
  <c r="M256" i="1"/>
  <c r="L255" i="1"/>
  <c r="M255" i="1"/>
  <c r="L257" i="1"/>
  <c r="M257" i="1"/>
</calcChain>
</file>

<file path=xl/sharedStrings.xml><?xml version="1.0" encoding="utf-8"?>
<sst xmlns="http://schemas.openxmlformats.org/spreadsheetml/2006/main" count="13" uniqueCount="13">
  <si>
    <t>L</t>
  </si>
  <si>
    <t>B</t>
  </si>
  <si>
    <t>Cw</t>
  </si>
  <si>
    <t>CB</t>
  </si>
  <si>
    <t>fnl-vh</t>
  </si>
  <si>
    <t>fm</t>
  </si>
  <si>
    <t>fp</t>
  </si>
  <si>
    <t>Mv-h</t>
  </si>
  <si>
    <t>fnl-vs</t>
  </si>
  <si>
    <t>Mv-s</t>
  </si>
  <si>
    <t>Cw1</t>
  </si>
  <si>
    <t>Cw2</t>
  </si>
  <si>
    <t>Cw3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</si>
</sst>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CSR_VBM!$L$1</c:f>
              <c:strCache>
                <c:ptCount val="1"/>
                <c:pt idx="0">
                  <c:v>Mv-h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CSR_VBM!$A$2:$A$505</c:f>
              <c:numCache>
                <c:formatCode>General</c:formatCode>
                <c:ptCount val="504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105</c:v>
                </c:pt>
                <c:pt idx="25">
                  <c:v>105</c:v>
                </c:pt>
                <c:pt idx="26">
                  <c:v>105</c:v>
                </c:pt>
                <c:pt idx="27">
                  <c:v>105</c:v>
                </c:pt>
                <c:pt idx="28">
                  <c:v>105</c:v>
                </c:pt>
                <c:pt idx="29">
                  <c:v>105</c:v>
                </c:pt>
                <c:pt idx="30">
                  <c:v>105</c:v>
                </c:pt>
                <c:pt idx="31">
                  <c:v>105</c:v>
                </c:pt>
                <c:pt idx="32">
                  <c:v>105</c:v>
                </c:pt>
                <c:pt idx="33">
                  <c:v>105</c:v>
                </c:pt>
                <c:pt idx="34">
                  <c:v>105</c:v>
                </c:pt>
                <c:pt idx="35">
                  <c:v>105</c:v>
                </c:pt>
                <c:pt idx="36">
                  <c:v>105</c:v>
                </c:pt>
                <c:pt idx="37">
                  <c:v>105</c:v>
                </c:pt>
                <c:pt idx="38">
                  <c:v>105</c:v>
                </c:pt>
                <c:pt idx="39">
                  <c:v>105</c:v>
                </c:pt>
                <c:pt idx="40">
                  <c:v>105</c:v>
                </c:pt>
                <c:pt idx="41">
                  <c:v>105</c:v>
                </c:pt>
                <c:pt idx="42">
                  <c:v>105</c:v>
                </c:pt>
                <c:pt idx="43">
                  <c:v>105</c:v>
                </c:pt>
                <c:pt idx="44">
                  <c:v>105</c:v>
                </c:pt>
                <c:pt idx="45">
                  <c:v>105</c:v>
                </c:pt>
                <c:pt idx="46">
                  <c:v>105</c:v>
                </c:pt>
                <c:pt idx="47">
                  <c:v>105</c:v>
                </c:pt>
                <c:pt idx="48">
                  <c:v>120</c:v>
                </c:pt>
                <c:pt idx="49">
                  <c:v>120</c:v>
                </c:pt>
                <c:pt idx="50">
                  <c:v>120</c:v>
                </c:pt>
                <c:pt idx="51">
                  <c:v>120</c:v>
                </c:pt>
                <c:pt idx="52">
                  <c:v>120</c:v>
                </c:pt>
                <c:pt idx="53">
                  <c:v>120</c:v>
                </c:pt>
                <c:pt idx="54">
                  <c:v>120</c:v>
                </c:pt>
                <c:pt idx="55">
                  <c:v>120</c:v>
                </c:pt>
                <c:pt idx="56">
                  <c:v>120</c:v>
                </c:pt>
                <c:pt idx="57">
                  <c:v>120</c:v>
                </c:pt>
                <c:pt idx="58">
                  <c:v>120</c:v>
                </c:pt>
                <c:pt idx="59">
                  <c:v>120</c:v>
                </c:pt>
                <c:pt idx="60">
                  <c:v>120</c:v>
                </c:pt>
                <c:pt idx="61">
                  <c:v>120</c:v>
                </c:pt>
                <c:pt idx="62">
                  <c:v>120</c:v>
                </c:pt>
                <c:pt idx="63">
                  <c:v>120</c:v>
                </c:pt>
                <c:pt idx="64">
                  <c:v>120</c:v>
                </c:pt>
                <c:pt idx="65">
                  <c:v>120</c:v>
                </c:pt>
                <c:pt idx="66">
                  <c:v>120</c:v>
                </c:pt>
                <c:pt idx="67">
                  <c:v>120</c:v>
                </c:pt>
                <c:pt idx="68">
                  <c:v>120</c:v>
                </c:pt>
                <c:pt idx="69">
                  <c:v>120</c:v>
                </c:pt>
                <c:pt idx="70">
                  <c:v>120</c:v>
                </c:pt>
                <c:pt idx="71">
                  <c:v>120</c:v>
                </c:pt>
                <c:pt idx="72">
                  <c:v>135</c:v>
                </c:pt>
                <c:pt idx="73">
                  <c:v>135</c:v>
                </c:pt>
                <c:pt idx="74">
                  <c:v>135</c:v>
                </c:pt>
                <c:pt idx="75">
                  <c:v>135</c:v>
                </c:pt>
                <c:pt idx="76">
                  <c:v>135</c:v>
                </c:pt>
                <c:pt idx="77">
                  <c:v>135</c:v>
                </c:pt>
                <c:pt idx="78">
                  <c:v>135</c:v>
                </c:pt>
                <c:pt idx="79">
                  <c:v>135</c:v>
                </c:pt>
                <c:pt idx="80">
                  <c:v>135</c:v>
                </c:pt>
                <c:pt idx="81">
                  <c:v>135</c:v>
                </c:pt>
                <c:pt idx="82">
                  <c:v>135</c:v>
                </c:pt>
                <c:pt idx="83">
                  <c:v>135</c:v>
                </c:pt>
                <c:pt idx="84">
                  <c:v>135</c:v>
                </c:pt>
                <c:pt idx="85">
                  <c:v>135</c:v>
                </c:pt>
                <c:pt idx="86">
                  <c:v>135</c:v>
                </c:pt>
                <c:pt idx="87">
                  <c:v>135</c:v>
                </c:pt>
                <c:pt idx="88">
                  <c:v>135</c:v>
                </c:pt>
                <c:pt idx="89">
                  <c:v>135</c:v>
                </c:pt>
                <c:pt idx="90">
                  <c:v>135</c:v>
                </c:pt>
                <c:pt idx="91">
                  <c:v>135</c:v>
                </c:pt>
                <c:pt idx="92">
                  <c:v>135</c:v>
                </c:pt>
                <c:pt idx="93">
                  <c:v>135</c:v>
                </c:pt>
                <c:pt idx="94">
                  <c:v>135</c:v>
                </c:pt>
                <c:pt idx="95">
                  <c:v>135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165</c:v>
                </c:pt>
                <c:pt idx="121">
                  <c:v>165</c:v>
                </c:pt>
                <c:pt idx="122">
                  <c:v>165</c:v>
                </c:pt>
                <c:pt idx="123">
                  <c:v>165</c:v>
                </c:pt>
                <c:pt idx="124">
                  <c:v>165</c:v>
                </c:pt>
                <c:pt idx="125">
                  <c:v>165</c:v>
                </c:pt>
                <c:pt idx="126">
                  <c:v>165</c:v>
                </c:pt>
                <c:pt idx="127">
                  <c:v>165</c:v>
                </c:pt>
                <c:pt idx="128">
                  <c:v>165</c:v>
                </c:pt>
                <c:pt idx="129">
                  <c:v>165</c:v>
                </c:pt>
                <c:pt idx="130">
                  <c:v>165</c:v>
                </c:pt>
                <c:pt idx="131">
                  <c:v>165</c:v>
                </c:pt>
                <c:pt idx="132">
                  <c:v>165</c:v>
                </c:pt>
                <c:pt idx="133">
                  <c:v>165</c:v>
                </c:pt>
                <c:pt idx="134">
                  <c:v>165</c:v>
                </c:pt>
                <c:pt idx="135">
                  <c:v>165</c:v>
                </c:pt>
                <c:pt idx="136">
                  <c:v>165</c:v>
                </c:pt>
                <c:pt idx="137">
                  <c:v>165</c:v>
                </c:pt>
                <c:pt idx="138">
                  <c:v>165</c:v>
                </c:pt>
                <c:pt idx="139">
                  <c:v>165</c:v>
                </c:pt>
                <c:pt idx="140">
                  <c:v>165</c:v>
                </c:pt>
                <c:pt idx="141">
                  <c:v>165</c:v>
                </c:pt>
                <c:pt idx="142">
                  <c:v>165</c:v>
                </c:pt>
                <c:pt idx="143">
                  <c:v>165</c:v>
                </c:pt>
                <c:pt idx="144">
                  <c:v>180</c:v>
                </c:pt>
                <c:pt idx="145">
                  <c:v>180</c:v>
                </c:pt>
                <c:pt idx="146">
                  <c:v>180</c:v>
                </c:pt>
                <c:pt idx="147">
                  <c:v>180</c:v>
                </c:pt>
                <c:pt idx="148">
                  <c:v>180</c:v>
                </c:pt>
                <c:pt idx="149">
                  <c:v>180</c:v>
                </c:pt>
                <c:pt idx="150">
                  <c:v>180</c:v>
                </c:pt>
                <c:pt idx="151">
                  <c:v>180</c:v>
                </c:pt>
                <c:pt idx="152">
                  <c:v>180</c:v>
                </c:pt>
                <c:pt idx="153">
                  <c:v>180</c:v>
                </c:pt>
                <c:pt idx="154">
                  <c:v>180</c:v>
                </c:pt>
                <c:pt idx="155">
                  <c:v>180</c:v>
                </c:pt>
                <c:pt idx="156">
                  <c:v>180</c:v>
                </c:pt>
                <c:pt idx="157">
                  <c:v>180</c:v>
                </c:pt>
                <c:pt idx="158">
                  <c:v>180</c:v>
                </c:pt>
                <c:pt idx="159">
                  <c:v>180</c:v>
                </c:pt>
                <c:pt idx="160">
                  <c:v>180</c:v>
                </c:pt>
                <c:pt idx="161">
                  <c:v>180</c:v>
                </c:pt>
                <c:pt idx="162">
                  <c:v>180</c:v>
                </c:pt>
                <c:pt idx="163">
                  <c:v>180</c:v>
                </c:pt>
                <c:pt idx="164">
                  <c:v>180</c:v>
                </c:pt>
                <c:pt idx="165">
                  <c:v>180</c:v>
                </c:pt>
                <c:pt idx="166">
                  <c:v>180</c:v>
                </c:pt>
                <c:pt idx="167">
                  <c:v>180</c:v>
                </c:pt>
                <c:pt idx="168">
                  <c:v>195</c:v>
                </c:pt>
                <c:pt idx="169">
                  <c:v>195</c:v>
                </c:pt>
                <c:pt idx="170">
                  <c:v>195</c:v>
                </c:pt>
                <c:pt idx="171">
                  <c:v>195</c:v>
                </c:pt>
                <c:pt idx="172">
                  <c:v>195</c:v>
                </c:pt>
                <c:pt idx="173">
                  <c:v>195</c:v>
                </c:pt>
                <c:pt idx="174">
                  <c:v>195</c:v>
                </c:pt>
                <c:pt idx="175">
                  <c:v>195</c:v>
                </c:pt>
                <c:pt idx="176">
                  <c:v>195</c:v>
                </c:pt>
                <c:pt idx="177">
                  <c:v>195</c:v>
                </c:pt>
                <c:pt idx="178">
                  <c:v>195</c:v>
                </c:pt>
                <c:pt idx="179">
                  <c:v>195</c:v>
                </c:pt>
                <c:pt idx="180">
                  <c:v>195</c:v>
                </c:pt>
                <c:pt idx="181">
                  <c:v>195</c:v>
                </c:pt>
                <c:pt idx="182">
                  <c:v>195</c:v>
                </c:pt>
                <c:pt idx="183">
                  <c:v>195</c:v>
                </c:pt>
                <c:pt idx="184">
                  <c:v>195</c:v>
                </c:pt>
                <c:pt idx="185">
                  <c:v>195</c:v>
                </c:pt>
                <c:pt idx="186">
                  <c:v>195</c:v>
                </c:pt>
                <c:pt idx="187">
                  <c:v>195</c:v>
                </c:pt>
                <c:pt idx="188">
                  <c:v>195</c:v>
                </c:pt>
                <c:pt idx="189">
                  <c:v>195</c:v>
                </c:pt>
                <c:pt idx="190">
                  <c:v>195</c:v>
                </c:pt>
                <c:pt idx="191">
                  <c:v>195</c:v>
                </c:pt>
                <c:pt idx="192">
                  <c:v>210</c:v>
                </c:pt>
                <c:pt idx="193">
                  <c:v>210</c:v>
                </c:pt>
                <c:pt idx="194">
                  <c:v>210</c:v>
                </c:pt>
                <c:pt idx="195">
                  <c:v>210</c:v>
                </c:pt>
                <c:pt idx="196">
                  <c:v>210</c:v>
                </c:pt>
                <c:pt idx="197">
                  <c:v>210</c:v>
                </c:pt>
                <c:pt idx="198">
                  <c:v>210</c:v>
                </c:pt>
                <c:pt idx="199">
                  <c:v>210</c:v>
                </c:pt>
                <c:pt idx="200">
                  <c:v>210</c:v>
                </c:pt>
                <c:pt idx="201">
                  <c:v>210</c:v>
                </c:pt>
                <c:pt idx="202">
                  <c:v>210</c:v>
                </c:pt>
                <c:pt idx="203">
                  <c:v>210</c:v>
                </c:pt>
                <c:pt idx="204">
                  <c:v>210</c:v>
                </c:pt>
                <c:pt idx="205">
                  <c:v>210</c:v>
                </c:pt>
                <c:pt idx="206">
                  <c:v>210</c:v>
                </c:pt>
                <c:pt idx="207">
                  <c:v>210</c:v>
                </c:pt>
                <c:pt idx="208">
                  <c:v>210</c:v>
                </c:pt>
                <c:pt idx="209">
                  <c:v>210</c:v>
                </c:pt>
                <c:pt idx="210">
                  <c:v>210</c:v>
                </c:pt>
                <c:pt idx="211">
                  <c:v>210</c:v>
                </c:pt>
                <c:pt idx="212">
                  <c:v>210</c:v>
                </c:pt>
                <c:pt idx="213">
                  <c:v>210</c:v>
                </c:pt>
                <c:pt idx="214">
                  <c:v>210</c:v>
                </c:pt>
                <c:pt idx="215">
                  <c:v>210</c:v>
                </c:pt>
                <c:pt idx="216">
                  <c:v>225</c:v>
                </c:pt>
                <c:pt idx="217">
                  <c:v>225</c:v>
                </c:pt>
                <c:pt idx="218">
                  <c:v>225</c:v>
                </c:pt>
                <c:pt idx="219">
                  <c:v>225</c:v>
                </c:pt>
                <c:pt idx="220">
                  <c:v>225</c:v>
                </c:pt>
                <c:pt idx="221">
                  <c:v>225</c:v>
                </c:pt>
                <c:pt idx="222">
                  <c:v>225</c:v>
                </c:pt>
                <c:pt idx="223">
                  <c:v>225</c:v>
                </c:pt>
                <c:pt idx="224">
                  <c:v>225</c:v>
                </c:pt>
                <c:pt idx="225">
                  <c:v>225</c:v>
                </c:pt>
                <c:pt idx="226">
                  <c:v>225</c:v>
                </c:pt>
                <c:pt idx="227">
                  <c:v>225</c:v>
                </c:pt>
                <c:pt idx="228">
                  <c:v>225</c:v>
                </c:pt>
                <c:pt idx="229">
                  <c:v>225</c:v>
                </c:pt>
                <c:pt idx="230">
                  <c:v>225</c:v>
                </c:pt>
                <c:pt idx="231">
                  <c:v>225</c:v>
                </c:pt>
                <c:pt idx="232">
                  <c:v>225</c:v>
                </c:pt>
                <c:pt idx="233">
                  <c:v>225</c:v>
                </c:pt>
                <c:pt idx="234">
                  <c:v>225</c:v>
                </c:pt>
                <c:pt idx="235">
                  <c:v>225</c:v>
                </c:pt>
                <c:pt idx="236">
                  <c:v>225</c:v>
                </c:pt>
                <c:pt idx="237">
                  <c:v>225</c:v>
                </c:pt>
                <c:pt idx="238">
                  <c:v>225</c:v>
                </c:pt>
                <c:pt idx="239">
                  <c:v>225</c:v>
                </c:pt>
                <c:pt idx="240">
                  <c:v>240</c:v>
                </c:pt>
                <c:pt idx="241">
                  <c:v>240</c:v>
                </c:pt>
                <c:pt idx="242">
                  <c:v>240</c:v>
                </c:pt>
                <c:pt idx="243">
                  <c:v>240</c:v>
                </c:pt>
                <c:pt idx="244">
                  <c:v>240</c:v>
                </c:pt>
                <c:pt idx="245">
                  <c:v>240</c:v>
                </c:pt>
                <c:pt idx="246">
                  <c:v>240</c:v>
                </c:pt>
                <c:pt idx="247">
                  <c:v>240</c:v>
                </c:pt>
                <c:pt idx="248">
                  <c:v>240</c:v>
                </c:pt>
                <c:pt idx="249">
                  <c:v>240</c:v>
                </c:pt>
                <c:pt idx="250">
                  <c:v>240</c:v>
                </c:pt>
                <c:pt idx="251">
                  <c:v>240</c:v>
                </c:pt>
                <c:pt idx="252">
                  <c:v>240</c:v>
                </c:pt>
                <c:pt idx="253">
                  <c:v>240</c:v>
                </c:pt>
                <c:pt idx="254">
                  <c:v>240</c:v>
                </c:pt>
                <c:pt idx="255">
                  <c:v>240</c:v>
                </c:pt>
                <c:pt idx="256">
                  <c:v>240</c:v>
                </c:pt>
                <c:pt idx="257">
                  <c:v>240</c:v>
                </c:pt>
                <c:pt idx="258">
                  <c:v>240</c:v>
                </c:pt>
                <c:pt idx="259">
                  <c:v>240</c:v>
                </c:pt>
                <c:pt idx="260">
                  <c:v>240</c:v>
                </c:pt>
                <c:pt idx="261">
                  <c:v>240</c:v>
                </c:pt>
                <c:pt idx="262">
                  <c:v>240</c:v>
                </c:pt>
                <c:pt idx="263">
                  <c:v>240</c:v>
                </c:pt>
                <c:pt idx="264">
                  <c:v>255</c:v>
                </c:pt>
                <c:pt idx="265">
                  <c:v>255</c:v>
                </c:pt>
                <c:pt idx="266">
                  <c:v>255</c:v>
                </c:pt>
                <c:pt idx="267">
                  <c:v>255</c:v>
                </c:pt>
                <c:pt idx="268">
                  <c:v>255</c:v>
                </c:pt>
                <c:pt idx="269">
                  <c:v>255</c:v>
                </c:pt>
                <c:pt idx="270">
                  <c:v>255</c:v>
                </c:pt>
                <c:pt idx="271">
                  <c:v>255</c:v>
                </c:pt>
                <c:pt idx="272">
                  <c:v>255</c:v>
                </c:pt>
                <c:pt idx="273">
                  <c:v>255</c:v>
                </c:pt>
                <c:pt idx="274">
                  <c:v>255</c:v>
                </c:pt>
                <c:pt idx="275">
                  <c:v>255</c:v>
                </c:pt>
                <c:pt idx="276">
                  <c:v>255</c:v>
                </c:pt>
                <c:pt idx="277">
                  <c:v>255</c:v>
                </c:pt>
                <c:pt idx="278">
                  <c:v>255</c:v>
                </c:pt>
                <c:pt idx="279">
                  <c:v>255</c:v>
                </c:pt>
                <c:pt idx="280">
                  <c:v>255</c:v>
                </c:pt>
                <c:pt idx="281">
                  <c:v>255</c:v>
                </c:pt>
                <c:pt idx="282">
                  <c:v>255</c:v>
                </c:pt>
                <c:pt idx="283">
                  <c:v>255</c:v>
                </c:pt>
                <c:pt idx="284">
                  <c:v>255</c:v>
                </c:pt>
                <c:pt idx="285">
                  <c:v>255</c:v>
                </c:pt>
                <c:pt idx="286">
                  <c:v>255</c:v>
                </c:pt>
                <c:pt idx="287">
                  <c:v>255</c:v>
                </c:pt>
                <c:pt idx="288">
                  <c:v>270</c:v>
                </c:pt>
                <c:pt idx="289">
                  <c:v>270</c:v>
                </c:pt>
                <c:pt idx="290">
                  <c:v>270</c:v>
                </c:pt>
                <c:pt idx="291">
                  <c:v>270</c:v>
                </c:pt>
                <c:pt idx="292">
                  <c:v>270</c:v>
                </c:pt>
                <c:pt idx="293">
                  <c:v>270</c:v>
                </c:pt>
                <c:pt idx="294">
                  <c:v>270</c:v>
                </c:pt>
                <c:pt idx="295">
                  <c:v>270</c:v>
                </c:pt>
                <c:pt idx="296">
                  <c:v>270</c:v>
                </c:pt>
                <c:pt idx="297">
                  <c:v>270</c:v>
                </c:pt>
                <c:pt idx="298">
                  <c:v>270</c:v>
                </c:pt>
                <c:pt idx="299">
                  <c:v>270</c:v>
                </c:pt>
                <c:pt idx="300">
                  <c:v>270</c:v>
                </c:pt>
                <c:pt idx="301">
                  <c:v>270</c:v>
                </c:pt>
                <c:pt idx="302">
                  <c:v>270</c:v>
                </c:pt>
                <c:pt idx="303">
                  <c:v>270</c:v>
                </c:pt>
                <c:pt idx="304">
                  <c:v>270</c:v>
                </c:pt>
                <c:pt idx="305">
                  <c:v>270</c:v>
                </c:pt>
                <c:pt idx="306">
                  <c:v>270</c:v>
                </c:pt>
                <c:pt idx="307">
                  <c:v>270</c:v>
                </c:pt>
                <c:pt idx="308">
                  <c:v>270</c:v>
                </c:pt>
                <c:pt idx="309">
                  <c:v>270</c:v>
                </c:pt>
                <c:pt idx="310">
                  <c:v>270</c:v>
                </c:pt>
                <c:pt idx="311">
                  <c:v>270</c:v>
                </c:pt>
                <c:pt idx="312">
                  <c:v>285</c:v>
                </c:pt>
                <c:pt idx="313">
                  <c:v>285</c:v>
                </c:pt>
                <c:pt idx="314">
                  <c:v>285</c:v>
                </c:pt>
                <c:pt idx="315">
                  <c:v>285</c:v>
                </c:pt>
                <c:pt idx="316">
                  <c:v>285</c:v>
                </c:pt>
                <c:pt idx="317">
                  <c:v>285</c:v>
                </c:pt>
                <c:pt idx="318">
                  <c:v>285</c:v>
                </c:pt>
                <c:pt idx="319">
                  <c:v>285</c:v>
                </c:pt>
                <c:pt idx="320">
                  <c:v>285</c:v>
                </c:pt>
                <c:pt idx="321">
                  <c:v>285</c:v>
                </c:pt>
                <c:pt idx="322">
                  <c:v>285</c:v>
                </c:pt>
                <c:pt idx="323">
                  <c:v>285</c:v>
                </c:pt>
                <c:pt idx="324">
                  <c:v>285</c:v>
                </c:pt>
                <c:pt idx="325">
                  <c:v>285</c:v>
                </c:pt>
                <c:pt idx="326">
                  <c:v>285</c:v>
                </c:pt>
                <c:pt idx="327">
                  <c:v>285</c:v>
                </c:pt>
                <c:pt idx="328">
                  <c:v>285</c:v>
                </c:pt>
                <c:pt idx="329">
                  <c:v>285</c:v>
                </c:pt>
                <c:pt idx="330">
                  <c:v>285</c:v>
                </c:pt>
                <c:pt idx="331">
                  <c:v>285</c:v>
                </c:pt>
                <c:pt idx="332">
                  <c:v>285</c:v>
                </c:pt>
                <c:pt idx="333">
                  <c:v>285</c:v>
                </c:pt>
                <c:pt idx="334">
                  <c:v>285</c:v>
                </c:pt>
                <c:pt idx="335">
                  <c:v>285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315</c:v>
                </c:pt>
                <c:pt idx="361">
                  <c:v>315</c:v>
                </c:pt>
                <c:pt idx="362">
                  <c:v>315</c:v>
                </c:pt>
                <c:pt idx="363">
                  <c:v>315</c:v>
                </c:pt>
                <c:pt idx="364">
                  <c:v>315</c:v>
                </c:pt>
                <c:pt idx="365">
                  <c:v>315</c:v>
                </c:pt>
                <c:pt idx="366">
                  <c:v>315</c:v>
                </c:pt>
                <c:pt idx="367">
                  <c:v>315</c:v>
                </c:pt>
                <c:pt idx="368">
                  <c:v>315</c:v>
                </c:pt>
                <c:pt idx="369">
                  <c:v>315</c:v>
                </c:pt>
                <c:pt idx="370">
                  <c:v>315</c:v>
                </c:pt>
                <c:pt idx="371">
                  <c:v>315</c:v>
                </c:pt>
                <c:pt idx="372">
                  <c:v>315</c:v>
                </c:pt>
                <c:pt idx="373">
                  <c:v>315</c:v>
                </c:pt>
                <c:pt idx="374">
                  <c:v>315</c:v>
                </c:pt>
                <c:pt idx="375">
                  <c:v>315</c:v>
                </c:pt>
                <c:pt idx="376">
                  <c:v>315</c:v>
                </c:pt>
                <c:pt idx="377">
                  <c:v>315</c:v>
                </c:pt>
                <c:pt idx="378">
                  <c:v>315</c:v>
                </c:pt>
                <c:pt idx="379">
                  <c:v>315</c:v>
                </c:pt>
                <c:pt idx="380">
                  <c:v>315</c:v>
                </c:pt>
                <c:pt idx="381">
                  <c:v>315</c:v>
                </c:pt>
                <c:pt idx="382">
                  <c:v>315</c:v>
                </c:pt>
                <c:pt idx="383">
                  <c:v>315</c:v>
                </c:pt>
                <c:pt idx="384">
                  <c:v>330</c:v>
                </c:pt>
                <c:pt idx="385">
                  <c:v>330</c:v>
                </c:pt>
                <c:pt idx="386">
                  <c:v>330</c:v>
                </c:pt>
                <c:pt idx="387">
                  <c:v>330</c:v>
                </c:pt>
                <c:pt idx="388">
                  <c:v>330</c:v>
                </c:pt>
                <c:pt idx="389">
                  <c:v>330</c:v>
                </c:pt>
                <c:pt idx="390">
                  <c:v>330</c:v>
                </c:pt>
                <c:pt idx="391">
                  <c:v>330</c:v>
                </c:pt>
                <c:pt idx="392">
                  <c:v>330</c:v>
                </c:pt>
                <c:pt idx="393">
                  <c:v>330</c:v>
                </c:pt>
                <c:pt idx="394">
                  <c:v>330</c:v>
                </c:pt>
                <c:pt idx="395">
                  <c:v>330</c:v>
                </c:pt>
                <c:pt idx="396">
                  <c:v>330</c:v>
                </c:pt>
                <c:pt idx="397">
                  <c:v>330</c:v>
                </c:pt>
                <c:pt idx="398">
                  <c:v>330</c:v>
                </c:pt>
                <c:pt idx="399">
                  <c:v>330</c:v>
                </c:pt>
                <c:pt idx="400">
                  <c:v>330</c:v>
                </c:pt>
                <c:pt idx="401">
                  <c:v>330</c:v>
                </c:pt>
                <c:pt idx="402">
                  <c:v>330</c:v>
                </c:pt>
                <c:pt idx="403">
                  <c:v>330</c:v>
                </c:pt>
                <c:pt idx="404">
                  <c:v>330</c:v>
                </c:pt>
                <c:pt idx="405">
                  <c:v>330</c:v>
                </c:pt>
                <c:pt idx="406">
                  <c:v>330</c:v>
                </c:pt>
                <c:pt idx="407">
                  <c:v>330</c:v>
                </c:pt>
                <c:pt idx="408">
                  <c:v>345</c:v>
                </c:pt>
                <c:pt idx="409">
                  <c:v>345</c:v>
                </c:pt>
                <c:pt idx="410">
                  <c:v>345</c:v>
                </c:pt>
                <c:pt idx="411">
                  <c:v>345</c:v>
                </c:pt>
                <c:pt idx="412">
                  <c:v>345</c:v>
                </c:pt>
                <c:pt idx="413">
                  <c:v>345</c:v>
                </c:pt>
                <c:pt idx="414">
                  <c:v>345</c:v>
                </c:pt>
                <c:pt idx="415">
                  <c:v>345</c:v>
                </c:pt>
                <c:pt idx="416">
                  <c:v>345</c:v>
                </c:pt>
                <c:pt idx="417">
                  <c:v>345</c:v>
                </c:pt>
                <c:pt idx="418">
                  <c:v>345</c:v>
                </c:pt>
                <c:pt idx="419">
                  <c:v>345</c:v>
                </c:pt>
                <c:pt idx="420">
                  <c:v>345</c:v>
                </c:pt>
                <c:pt idx="421">
                  <c:v>345</c:v>
                </c:pt>
                <c:pt idx="422">
                  <c:v>345</c:v>
                </c:pt>
                <c:pt idx="423">
                  <c:v>345</c:v>
                </c:pt>
                <c:pt idx="424">
                  <c:v>345</c:v>
                </c:pt>
                <c:pt idx="425">
                  <c:v>345</c:v>
                </c:pt>
                <c:pt idx="426">
                  <c:v>345</c:v>
                </c:pt>
                <c:pt idx="427">
                  <c:v>345</c:v>
                </c:pt>
                <c:pt idx="428">
                  <c:v>345</c:v>
                </c:pt>
                <c:pt idx="429">
                  <c:v>345</c:v>
                </c:pt>
                <c:pt idx="430">
                  <c:v>345</c:v>
                </c:pt>
                <c:pt idx="431">
                  <c:v>345</c:v>
                </c:pt>
                <c:pt idx="432">
                  <c:v>360</c:v>
                </c:pt>
                <c:pt idx="433">
                  <c:v>360</c:v>
                </c:pt>
                <c:pt idx="434">
                  <c:v>360</c:v>
                </c:pt>
                <c:pt idx="435">
                  <c:v>360</c:v>
                </c:pt>
                <c:pt idx="436">
                  <c:v>360</c:v>
                </c:pt>
                <c:pt idx="437">
                  <c:v>360</c:v>
                </c:pt>
                <c:pt idx="438">
                  <c:v>360</c:v>
                </c:pt>
                <c:pt idx="439">
                  <c:v>360</c:v>
                </c:pt>
                <c:pt idx="440">
                  <c:v>360</c:v>
                </c:pt>
                <c:pt idx="441">
                  <c:v>360</c:v>
                </c:pt>
                <c:pt idx="442">
                  <c:v>360</c:v>
                </c:pt>
                <c:pt idx="443">
                  <c:v>360</c:v>
                </c:pt>
                <c:pt idx="444">
                  <c:v>360</c:v>
                </c:pt>
                <c:pt idx="445">
                  <c:v>360</c:v>
                </c:pt>
                <c:pt idx="446">
                  <c:v>360</c:v>
                </c:pt>
                <c:pt idx="447">
                  <c:v>360</c:v>
                </c:pt>
                <c:pt idx="448">
                  <c:v>360</c:v>
                </c:pt>
                <c:pt idx="449">
                  <c:v>360</c:v>
                </c:pt>
                <c:pt idx="450">
                  <c:v>360</c:v>
                </c:pt>
                <c:pt idx="451">
                  <c:v>360</c:v>
                </c:pt>
                <c:pt idx="452">
                  <c:v>360</c:v>
                </c:pt>
                <c:pt idx="453">
                  <c:v>360</c:v>
                </c:pt>
                <c:pt idx="454">
                  <c:v>360</c:v>
                </c:pt>
                <c:pt idx="455">
                  <c:v>360</c:v>
                </c:pt>
                <c:pt idx="456">
                  <c:v>375</c:v>
                </c:pt>
                <c:pt idx="457">
                  <c:v>375</c:v>
                </c:pt>
                <c:pt idx="458">
                  <c:v>375</c:v>
                </c:pt>
                <c:pt idx="459">
                  <c:v>375</c:v>
                </c:pt>
                <c:pt idx="460">
                  <c:v>375</c:v>
                </c:pt>
                <c:pt idx="461">
                  <c:v>375</c:v>
                </c:pt>
                <c:pt idx="462">
                  <c:v>375</c:v>
                </c:pt>
                <c:pt idx="463">
                  <c:v>375</c:v>
                </c:pt>
                <c:pt idx="464">
                  <c:v>375</c:v>
                </c:pt>
                <c:pt idx="465">
                  <c:v>375</c:v>
                </c:pt>
                <c:pt idx="466">
                  <c:v>375</c:v>
                </c:pt>
                <c:pt idx="467">
                  <c:v>375</c:v>
                </c:pt>
                <c:pt idx="468">
                  <c:v>375</c:v>
                </c:pt>
                <c:pt idx="469">
                  <c:v>375</c:v>
                </c:pt>
                <c:pt idx="470">
                  <c:v>375</c:v>
                </c:pt>
                <c:pt idx="471">
                  <c:v>375</c:v>
                </c:pt>
                <c:pt idx="472">
                  <c:v>375</c:v>
                </c:pt>
                <c:pt idx="473">
                  <c:v>375</c:v>
                </c:pt>
                <c:pt idx="474">
                  <c:v>375</c:v>
                </c:pt>
                <c:pt idx="475">
                  <c:v>375</c:v>
                </c:pt>
                <c:pt idx="476">
                  <c:v>375</c:v>
                </c:pt>
                <c:pt idx="477">
                  <c:v>375</c:v>
                </c:pt>
                <c:pt idx="478">
                  <c:v>375</c:v>
                </c:pt>
                <c:pt idx="479">
                  <c:v>375</c:v>
                </c:pt>
                <c:pt idx="480">
                  <c:v>390</c:v>
                </c:pt>
                <c:pt idx="481">
                  <c:v>390</c:v>
                </c:pt>
                <c:pt idx="482">
                  <c:v>390</c:v>
                </c:pt>
                <c:pt idx="483">
                  <c:v>390</c:v>
                </c:pt>
                <c:pt idx="484">
                  <c:v>390</c:v>
                </c:pt>
                <c:pt idx="485">
                  <c:v>390</c:v>
                </c:pt>
                <c:pt idx="486">
                  <c:v>390</c:v>
                </c:pt>
                <c:pt idx="487">
                  <c:v>390</c:v>
                </c:pt>
                <c:pt idx="488">
                  <c:v>390</c:v>
                </c:pt>
                <c:pt idx="489">
                  <c:v>390</c:v>
                </c:pt>
                <c:pt idx="490">
                  <c:v>390</c:v>
                </c:pt>
                <c:pt idx="491">
                  <c:v>390</c:v>
                </c:pt>
                <c:pt idx="492">
                  <c:v>390</c:v>
                </c:pt>
                <c:pt idx="493">
                  <c:v>390</c:v>
                </c:pt>
                <c:pt idx="494">
                  <c:v>390</c:v>
                </c:pt>
                <c:pt idx="495">
                  <c:v>390</c:v>
                </c:pt>
                <c:pt idx="496">
                  <c:v>390</c:v>
                </c:pt>
                <c:pt idx="497">
                  <c:v>390</c:v>
                </c:pt>
                <c:pt idx="498">
                  <c:v>390</c:v>
                </c:pt>
                <c:pt idx="499">
                  <c:v>390</c:v>
                </c:pt>
                <c:pt idx="500">
                  <c:v>390</c:v>
                </c:pt>
                <c:pt idx="501">
                  <c:v>390</c:v>
                </c:pt>
                <c:pt idx="502">
                  <c:v>390</c:v>
                </c:pt>
                <c:pt idx="503">
                  <c:v>390</c:v>
                </c:pt>
              </c:numCache>
            </c:numRef>
          </c:xVal>
          <c:yVal>
            <c:numRef>
              <c:f>CSR_VBM!$L$2:$L$505</c:f>
              <c:numCache>
                <c:formatCode>0.00</c:formatCode>
                <c:ptCount val="504"/>
                <c:pt idx="0">
                  <c:v>128096.44505350957</c:v>
                </c:pt>
                <c:pt idx="1">
                  <c:v>116451.31368500869</c:v>
                </c:pt>
                <c:pt idx="2">
                  <c:v>106747.03754459129</c:v>
                </c:pt>
                <c:pt idx="3">
                  <c:v>98535.726964238114</c:v>
                </c:pt>
                <c:pt idx="4">
                  <c:v>91497.460752506828</c:v>
                </c:pt>
                <c:pt idx="5">
                  <c:v>85397.63003567305</c:v>
                </c:pt>
                <c:pt idx="6">
                  <c:v>149445.85256242781</c:v>
                </c:pt>
                <c:pt idx="7">
                  <c:v>135859.86596584346</c:v>
                </c:pt>
                <c:pt idx="8">
                  <c:v>124538.21046868984</c:v>
                </c:pt>
                <c:pt idx="9">
                  <c:v>114958.34812494447</c:v>
                </c:pt>
                <c:pt idx="10">
                  <c:v>106747.03754459129</c:v>
                </c:pt>
                <c:pt idx="11">
                  <c:v>99630.568374951879</c:v>
                </c:pt>
                <c:pt idx="12">
                  <c:v>170795.2600713461</c:v>
                </c:pt>
                <c:pt idx="13">
                  <c:v>155268.41824667828</c:v>
                </c:pt>
                <c:pt idx="14">
                  <c:v>142329.38339278841</c:v>
                </c:pt>
                <c:pt idx="15">
                  <c:v>131380.96928565085</c:v>
                </c:pt>
                <c:pt idx="16">
                  <c:v>121996.61433667579</c:v>
                </c:pt>
                <c:pt idx="17">
                  <c:v>113863.50671423074</c:v>
                </c:pt>
                <c:pt idx="18">
                  <c:v>192144.66758026436</c:v>
                </c:pt>
                <c:pt idx="19">
                  <c:v>174676.97052751304</c:v>
                </c:pt>
                <c:pt idx="20">
                  <c:v>160120.55631688694</c:v>
                </c:pt>
                <c:pt idx="21">
                  <c:v>147803.59044635718</c:v>
                </c:pt>
                <c:pt idx="22">
                  <c:v>137246.19112876026</c:v>
                </c:pt>
                <c:pt idx="23">
                  <c:v>128096.44505350957</c:v>
                </c:pt>
                <c:pt idx="24">
                  <c:v>211862.72636955002</c:v>
                </c:pt>
                <c:pt idx="25">
                  <c:v>192602.47851777272</c:v>
                </c:pt>
                <c:pt idx="26">
                  <c:v>176552.27197462501</c:v>
                </c:pt>
                <c:pt idx="27">
                  <c:v>162971.3279765769</c:v>
                </c:pt>
                <c:pt idx="28">
                  <c:v>151330.51883539284</c:v>
                </c:pt>
                <c:pt idx="29">
                  <c:v>141241.8175797</c:v>
                </c:pt>
                <c:pt idx="30">
                  <c:v>247173.18076447499</c:v>
                </c:pt>
                <c:pt idx="31">
                  <c:v>224702.89160406817</c:v>
                </c:pt>
                <c:pt idx="32">
                  <c:v>205977.6506370625</c:v>
                </c:pt>
                <c:pt idx="33">
                  <c:v>190133.21597267306</c:v>
                </c:pt>
                <c:pt idx="34">
                  <c:v>176552.27197462498</c:v>
                </c:pt>
                <c:pt idx="35">
                  <c:v>164782.12050964998</c:v>
                </c:pt>
                <c:pt idx="36">
                  <c:v>282483.6351594</c:v>
                </c:pt>
                <c:pt idx="37">
                  <c:v>256803.30469036364</c:v>
                </c:pt>
                <c:pt idx="38">
                  <c:v>235403.02929950005</c:v>
                </c:pt>
                <c:pt idx="39">
                  <c:v>217295.10396876922</c:v>
                </c:pt>
                <c:pt idx="40">
                  <c:v>201774.02511385715</c:v>
                </c:pt>
                <c:pt idx="41">
                  <c:v>188322.42343960001</c:v>
                </c:pt>
                <c:pt idx="42">
                  <c:v>317794.08955432504</c:v>
                </c:pt>
                <c:pt idx="43">
                  <c:v>288903.71777665912</c:v>
                </c:pt>
                <c:pt idx="44">
                  <c:v>264828.40796193754</c:v>
                </c:pt>
                <c:pt idx="45">
                  <c:v>244456.99196486539</c:v>
                </c:pt>
                <c:pt idx="46">
                  <c:v>226995.77825308929</c:v>
                </c:pt>
                <c:pt idx="47">
                  <c:v>211862.72636954999</c:v>
                </c:pt>
                <c:pt idx="48">
                  <c:v>328387.49934689404</c:v>
                </c:pt>
                <c:pt idx="49">
                  <c:v>298534.09031535819</c:v>
                </c:pt>
                <c:pt idx="50">
                  <c:v>273656.24945574504</c:v>
                </c:pt>
                <c:pt idx="51">
                  <c:v>252605.76872838</c:v>
                </c:pt>
                <c:pt idx="52">
                  <c:v>234562.49953349575</c:v>
                </c:pt>
                <c:pt idx="53">
                  <c:v>218924.99956459602</c:v>
                </c:pt>
                <c:pt idx="54">
                  <c:v>383118.74923804303</c:v>
                </c:pt>
                <c:pt idx="55">
                  <c:v>348289.77203458454</c:v>
                </c:pt>
                <c:pt idx="56">
                  <c:v>319265.62436503585</c:v>
                </c:pt>
                <c:pt idx="57">
                  <c:v>294706.73018310999</c:v>
                </c:pt>
                <c:pt idx="58">
                  <c:v>273656.24945574504</c:v>
                </c:pt>
                <c:pt idx="59">
                  <c:v>255412.4994920287</c:v>
                </c:pt>
                <c:pt idx="60">
                  <c:v>437849.99912919209</c:v>
                </c:pt>
                <c:pt idx="61">
                  <c:v>398045.45375381096</c:v>
                </c:pt>
                <c:pt idx="62">
                  <c:v>364874.99927432672</c:v>
                </c:pt>
                <c:pt idx="63">
                  <c:v>336807.69163784006</c:v>
                </c:pt>
                <c:pt idx="64">
                  <c:v>312749.99937799433</c:v>
                </c:pt>
                <c:pt idx="65">
                  <c:v>291899.99941946141</c:v>
                </c:pt>
                <c:pt idx="66">
                  <c:v>492581.24902034109</c:v>
                </c:pt>
                <c:pt idx="67">
                  <c:v>447801.13547303731</c:v>
                </c:pt>
                <c:pt idx="68">
                  <c:v>410484.37418361759</c:v>
                </c:pt>
                <c:pt idx="69">
                  <c:v>378908.65309257002</c:v>
                </c:pt>
                <c:pt idx="70">
                  <c:v>351843.74930024362</c:v>
                </c:pt>
                <c:pt idx="71">
                  <c:v>328387.49934689404</c:v>
                </c:pt>
                <c:pt idx="72">
                  <c:v>484143.32928423159</c:v>
                </c:pt>
                <c:pt idx="73">
                  <c:v>440130.29934930144</c:v>
                </c:pt>
                <c:pt idx="74">
                  <c:v>403452.77440352633</c:v>
                </c:pt>
                <c:pt idx="75">
                  <c:v>372417.94560325512</c:v>
                </c:pt>
                <c:pt idx="76">
                  <c:v>345816.66377445118</c:v>
                </c:pt>
                <c:pt idx="77">
                  <c:v>322762.21952282108</c:v>
                </c:pt>
                <c:pt idx="78">
                  <c:v>564833.88416493684</c:v>
                </c:pt>
                <c:pt idx="79">
                  <c:v>513485.3492408517</c:v>
                </c:pt>
                <c:pt idx="80">
                  <c:v>470694.9034707807</c:v>
                </c:pt>
                <c:pt idx="81">
                  <c:v>434487.6032037976</c:v>
                </c:pt>
                <c:pt idx="82">
                  <c:v>403452.77440352633</c:v>
                </c:pt>
                <c:pt idx="83">
                  <c:v>376555.92277662462</c:v>
                </c:pt>
                <c:pt idx="84">
                  <c:v>645524.43904564215</c:v>
                </c:pt>
                <c:pt idx="85">
                  <c:v>586840.39913240203</c:v>
                </c:pt>
                <c:pt idx="86">
                  <c:v>537937.03253803519</c:v>
                </c:pt>
                <c:pt idx="87">
                  <c:v>496557.26080434019</c:v>
                </c:pt>
                <c:pt idx="88">
                  <c:v>461088.8850326016</c:v>
                </c:pt>
                <c:pt idx="89">
                  <c:v>430349.62603042816</c:v>
                </c:pt>
                <c:pt idx="90">
                  <c:v>726214.99392634747</c:v>
                </c:pt>
                <c:pt idx="91">
                  <c:v>660195.44902395224</c:v>
                </c:pt>
                <c:pt idx="92">
                  <c:v>605179.16160528956</c:v>
                </c:pt>
                <c:pt idx="93">
                  <c:v>558626.91840488266</c:v>
                </c:pt>
                <c:pt idx="94">
                  <c:v>518724.99566167674</c:v>
                </c:pt>
                <c:pt idx="95">
                  <c:v>484143.3292842317</c:v>
                </c:pt>
                <c:pt idx="96">
                  <c:v>685846.32321962574</c:v>
                </c:pt>
                <c:pt idx="97">
                  <c:v>623496.65747238707</c:v>
                </c:pt>
                <c:pt idx="98">
                  <c:v>571538.60268302145</c:v>
                </c:pt>
                <c:pt idx="99">
                  <c:v>527574.09478432743</c:v>
                </c:pt>
                <c:pt idx="100">
                  <c:v>489890.23087116121</c:v>
                </c:pt>
                <c:pt idx="101">
                  <c:v>457230.88214641716</c:v>
                </c:pt>
                <c:pt idx="102">
                  <c:v>800154.04375623004</c:v>
                </c:pt>
                <c:pt idx="103">
                  <c:v>727412.76705111819</c:v>
                </c:pt>
                <c:pt idx="104">
                  <c:v>666795.03646352503</c:v>
                </c:pt>
                <c:pt idx="105">
                  <c:v>615503.11058171536</c:v>
                </c:pt>
                <c:pt idx="106">
                  <c:v>571538.60268302145</c:v>
                </c:pt>
                <c:pt idx="107">
                  <c:v>533436.02917082002</c:v>
                </c:pt>
                <c:pt idx="108">
                  <c:v>914461.76429283433</c:v>
                </c:pt>
                <c:pt idx="109">
                  <c:v>831328.87662984943</c:v>
                </c:pt>
                <c:pt idx="110">
                  <c:v>762051.47024402861</c:v>
                </c:pt>
                <c:pt idx="111">
                  <c:v>703432.1263791034</c:v>
                </c:pt>
                <c:pt idx="112">
                  <c:v>653186.9744948817</c:v>
                </c:pt>
                <c:pt idx="113">
                  <c:v>609641.17619522288</c:v>
                </c:pt>
                <c:pt idx="114">
                  <c:v>1028769.4848294386</c:v>
                </c:pt>
                <c:pt idx="115">
                  <c:v>935244.98620858067</c:v>
                </c:pt>
                <c:pt idx="116">
                  <c:v>857307.90402453218</c:v>
                </c:pt>
                <c:pt idx="117">
                  <c:v>791361.14217649121</c:v>
                </c:pt>
                <c:pt idx="118">
                  <c:v>734835.34630674182</c:v>
                </c:pt>
                <c:pt idx="119">
                  <c:v>685846.32321962574</c:v>
                </c:pt>
                <c:pt idx="120">
                  <c:v>940367.39514976682</c:v>
                </c:pt>
                <c:pt idx="121">
                  <c:v>854879.45013615163</c:v>
                </c:pt>
                <c:pt idx="122">
                  <c:v>783639.49595813896</c:v>
                </c:pt>
                <c:pt idx="123">
                  <c:v>723359.53473058972</c:v>
                </c:pt>
                <c:pt idx="124">
                  <c:v>671690.99653554778</c:v>
                </c:pt>
                <c:pt idx="125">
                  <c:v>626911.59676651121</c:v>
                </c:pt>
                <c:pt idx="126">
                  <c:v>1097095.2943413947</c:v>
                </c:pt>
                <c:pt idx="127">
                  <c:v>997359.35849217686</c:v>
                </c:pt>
                <c:pt idx="128">
                  <c:v>914246.07861782878</c:v>
                </c:pt>
                <c:pt idx="129">
                  <c:v>843919.45718568796</c:v>
                </c:pt>
                <c:pt idx="130">
                  <c:v>783639.49595813907</c:v>
                </c:pt>
                <c:pt idx="131">
                  <c:v>731396.86289426312</c:v>
                </c:pt>
                <c:pt idx="132">
                  <c:v>1253823.1935330227</c:v>
                </c:pt>
                <c:pt idx="133">
                  <c:v>1139839.2668482023</c:v>
                </c:pt>
                <c:pt idx="134">
                  <c:v>1044852.6612775186</c:v>
                </c:pt>
                <c:pt idx="135">
                  <c:v>964479.37964078644</c:v>
                </c:pt>
                <c:pt idx="136">
                  <c:v>895587.99538073037</c:v>
                </c:pt>
                <c:pt idx="137">
                  <c:v>835882.12902201503</c:v>
                </c:pt>
                <c:pt idx="138">
                  <c:v>1410551.0927246504</c:v>
                </c:pt>
                <c:pt idx="139">
                  <c:v>1282319.1752042274</c:v>
                </c:pt>
                <c:pt idx="140">
                  <c:v>1175459.2439372086</c:v>
                </c:pt>
                <c:pt idx="141">
                  <c:v>1085039.3020958847</c:v>
                </c:pt>
                <c:pt idx="142">
                  <c:v>1007536.4948033217</c:v>
                </c:pt>
                <c:pt idx="143">
                  <c:v>940367.39514976682</c:v>
                </c:pt>
                <c:pt idx="144">
                  <c:v>1254630.1214821467</c:v>
                </c:pt>
                <c:pt idx="145">
                  <c:v>1140572.8377110423</c:v>
                </c:pt>
                <c:pt idx="146">
                  <c:v>1045525.1012351221</c:v>
                </c:pt>
                <c:pt idx="147">
                  <c:v>965100.09344780515</c:v>
                </c:pt>
                <c:pt idx="148">
                  <c:v>896164.37248724757</c:v>
                </c:pt>
                <c:pt idx="149">
                  <c:v>836420.08098809759</c:v>
                </c:pt>
                <c:pt idx="150">
                  <c:v>1463735.1417291709</c:v>
                </c:pt>
                <c:pt idx="151">
                  <c:v>1330668.3106628826</c:v>
                </c:pt>
                <c:pt idx="152">
                  <c:v>1219779.284774309</c:v>
                </c:pt>
                <c:pt idx="153">
                  <c:v>1125950.1090224392</c:v>
                </c:pt>
                <c:pt idx="154">
                  <c:v>1045525.1012351221</c:v>
                </c:pt>
                <c:pt idx="155">
                  <c:v>975823.42781944724</c:v>
                </c:pt>
                <c:pt idx="156">
                  <c:v>1672840.1619761956</c:v>
                </c:pt>
                <c:pt idx="157">
                  <c:v>1520763.7836147232</c:v>
                </c:pt>
                <c:pt idx="158">
                  <c:v>1394033.4683134963</c:v>
                </c:pt>
                <c:pt idx="159">
                  <c:v>1286800.1245970735</c:v>
                </c:pt>
                <c:pt idx="160">
                  <c:v>1194885.8299829967</c:v>
                </c:pt>
                <c:pt idx="161">
                  <c:v>1115226.774650797</c:v>
                </c:pt>
                <c:pt idx="162">
                  <c:v>1881945.1822232199</c:v>
                </c:pt>
                <c:pt idx="163">
                  <c:v>1710859.2565665636</c:v>
                </c:pt>
                <c:pt idx="164">
                  <c:v>1568287.6518526832</c:v>
                </c:pt>
                <c:pt idx="165">
                  <c:v>1447650.1401717078</c:v>
                </c:pt>
                <c:pt idx="166">
                  <c:v>1344246.5587308714</c:v>
                </c:pt>
                <c:pt idx="167">
                  <c:v>1254630.1214821464</c:v>
                </c:pt>
                <c:pt idx="168">
                  <c:v>1635490.0799085773</c:v>
                </c:pt>
                <c:pt idx="169">
                  <c:v>1486809.1635532521</c:v>
                </c:pt>
                <c:pt idx="170">
                  <c:v>1362908.3999238142</c:v>
                </c:pt>
                <c:pt idx="171">
                  <c:v>1258069.292237367</c:v>
                </c:pt>
                <c:pt idx="172">
                  <c:v>1168207.1999346982</c:v>
                </c:pt>
                <c:pt idx="173">
                  <c:v>1090326.7199390514</c:v>
                </c:pt>
                <c:pt idx="174">
                  <c:v>1908071.7598933401</c:v>
                </c:pt>
                <c:pt idx="175">
                  <c:v>1734610.6908121274</c:v>
                </c:pt>
                <c:pt idx="176">
                  <c:v>1590059.7999111167</c:v>
                </c:pt>
                <c:pt idx="177">
                  <c:v>1467747.5076102614</c:v>
                </c:pt>
                <c:pt idx="178">
                  <c:v>1362908.3999238145</c:v>
                </c:pt>
                <c:pt idx="179">
                  <c:v>1272047.8399288934</c:v>
                </c:pt>
                <c:pt idx="180">
                  <c:v>2180653.4398781033</c:v>
                </c:pt>
                <c:pt idx="181">
                  <c:v>1982412.218071003</c:v>
                </c:pt>
                <c:pt idx="182">
                  <c:v>1817211.1998984192</c:v>
                </c:pt>
                <c:pt idx="183">
                  <c:v>1677425.7229831563</c:v>
                </c:pt>
                <c:pt idx="184">
                  <c:v>1557609.599912931</c:v>
                </c:pt>
                <c:pt idx="185">
                  <c:v>1453768.9599187355</c:v>
                </c:pt>
                <c:pt idx="186">
                  <c:v>2453235.1198628661</c:v>
                </c:pt>
                <c:pt idx="187">
                  <c:v>2230213.7453298783</c:v>
                </c:pt>
                <c:pt idx="188">
                  <c:v>2044362.5998857217</c:v>
                </c:pt>
                <c:pt idx="189">
                  <c:v>1887103.9383560508</c:v>
                </c:pt>
                <c:pt idx="190">
                  <c:v>1752310.7999020473</c:v>
                </c:pt>
                <c:pt idx="191">
                  <c:v>1635490.0799085773</c:v>
                </c:pt>
                <c:pt idx="192">
                  <c:v>2089587.386402996</c:v>
                </c:pt>
                <c:pt idx="193">
                  <c:v>1899624.8967299962</c:v>
                </c:pt>
                <c:pt idx="194">
                  <c:v>1741322.8220024966</c:v>
                </c:pt>
                <c:pt idx="195">
                  <c:v>1607374.9126176892</c:v>
                </c:pt>
                <c:pt idx="196">
                  <c:v>1492562.418859283</c:v>
                </c:pt>
                <c:pt idx="197">
                  <c:v>1393058.2576019971</c:v>
                </c:pt>
                <c:pt idx="198">
                  <c:v>2437851.9508034955</c:v>
                </c:pt>
                <c:pt idx="199">
                  <c:v>2216229.0461849957</c:v>
                </c:pt>
                <c:pt idx="200">
                  <c:v>2031543.2923362458</c:v>
                </c:pt>
                <c:pt idx="201">
                  <c:v>1875270.7313873039</c:v>
                </c:pt>
                <c:pt idx="202">
                  <c:v>1741322.8220024968</c:v>
                </c:pt>
                <c:pt idx="203">
                  <c:v>1625234.6338689968</c:v>
                </c:pt>
                <c:pt idx="204">
                  <c:v>2786116.5152039952</c:v>
                </c:pt>
                <c:pt idx="205">
                  <c:v>2532833.1956399954</c:v>
                </c:pt>
                <c:pt idx="206">
                  <c:v>2321763.7626699954</c:v>
                </c:pt>
                <c:pt idx="207">
                  <c:v>2143166.5501569188</c:v>
                </c:pt>
                <c:pt idx="208">
                  <c:v>1990083.2251457106</c:v>
                </c:pt>
                <c:pt idx="209">
                  <c:v>1857411.0101359964</c:v>
                </c:pt>
                <c:pt idx="210">
                  <c:v>3134381.0796044944</c:v>
                </c:pt>
                <c:pt idx="211">
                  <c:v>2849437.3450949946</c:v>
                </c:pt>
                <c:pt idx="212">
                  <c:v>2611984.2330037449</c:v>
                </c:pt>
                <c:pt idx="213">
                  <c:v>2411062.368926534</c:v>
                </c:pt>
                <c:pt idx="214">
                  <c:v>2238843.6282889247</c:v>
                </c:pt>
                <c:pt idx="215">
                  <c:v>2089587.386402996</c:v>
                </c:pt>
                <c:pt idx="216">
                  <c:v>2623158.0299838055</c:v>
                </c:pt>
                <c:pt idx="217">
                  <c:v>2384689.1181670958</c:v>
                </c:pt>
                <c:pt idx="218">
                  <c:v>2185965.0249865046</c:v>
                </c:pt>
                <c:pt idx="219">
                  <c:v>2017813.8692183117</c:v>
                </c:pt>
                <c:pt idx="220">
                  <c:v>1873684.3071312897</c:v>
                </c:pt>
                <c:pt idx="221">
                  <c:v>1748772.0199892037</c:v>
                </c:pt>
                <c:pt idx="222">
                  <c:v>3060351.0349811064</c:v>
                </c:pt>
                <c:pt idx="223">
                  <c:v>2782137.3045282783</c:v>
                </c:pt>
                <c:pt idx="224">
                  <c:v>2550292.5291509219</c:v>
                </c:pt>
                <c:pt idx="225">
                  <c:v>2354116.180754697</c:v>
                </c:pt>
                <c:pt idx="226">
                  <c:v>2185965.0249865046</c:v>
                </c:pt>
                <c:pt idx="227">
                  <c:v>2040234.0233207375</c:v>
                </c:pt>
                <c:pt idx="228">
                  <c:v>3497544.0399784073</c:v>
                </c:pt>
                <c:pt idx="229">
                  <c:v>3179585.4908894617</c:v>
                </c:pt>
                <c:pt idx="230">
                  <c:v>2914620.0333153401</c:v>
                </c:pt>
                <c:pt idx="231">
                  <c:v>2690418.4922910826</c:v>
                </c:pt>
                <c:pt idx="232">
                  <c:v>2498245.7428417201</c:v>
                </c:pt>
                <c:pt idx="233">
                  <c:v>2331696.0266522719</c:v>
                </c:pt>
                <c:pt idx="234">
                  <c:v>3934737.0449757082</c:v>
                </c:pt>
                <c:pt idx="235">
                  <c:v>3577033.6772506442</c:v>
                </c:pt>
                <c:pt idx="236">
                  <c:v>3278947.5374797573</c:v>
                </c:pt>
                <c:pt idx="237">
                  <c:v>3026720.8038274678</c:v>
                </c:pt>
                <c:pt idx="238">
                  <c:v>2810526.4606969347</c:v>
                </c:pt>
                <c:pt idx="239">
                  <c:v>2623158.0299838055</c:v>
                </c:pt>
                <c:pt idx="240">
                  <c:v>3241776.6268154704</c:v>
                </c:pt>
                <c:pt idx="241">
                  <c:v>2947069.6607413366</c:v>
                </c:pt>
                <c:pt idx="242">
                  <c:v>2701480.522346226</c:v>
                </c:pt>
                <c:pt idx="243">
                  <c:v>2493674.3283195929</c:v>
                </c:pt>
                <c:pt idx="244">
                  <c:v>2315554.733439622</c:v>
                </c:pt>
                <c:pt idx="245">
                  <c:v>2161184.4178769807</c:v>
                </c:pt>
                <c:pt idx="246">
                  <c:v>3782072.7312847157</c:v>
                </c:pt>
                <c:pt idx="247">
                  <c:v>3438247.9375315593</c:v>
                </c:pt>
                <c:pt idx="248">
                  <c:v>3151727.2760705967</c:v>
                </c:pt>
                <c:pt idx="249">
                  <c:v>2909286.7163728583</c:v>
                </c:pt>
                <c:pt idx="250">
                  <c:v>2701480.5223462256</c:v>
                </c:pt>
                <c:pt idx="251">
                  <c:v>2521381.8208564771</c:v>
                </c:pt>
                <c:pt idx="252">
                  <c:v>4322368.8357539615</c:v>
                </c:pt>
                <c:pt idx="253">
                  <c:v>3929426.2143217828</c:v>
                </c:pt>
                <c:pt idx="254">
                  <c:v>3601974.0297949682</c:v>
                </c:pt>
                <c:pt idx="255">
                  <c:v>3324899.1044261241</c:v>
                </c:pt>
                <c:pt idx="256">
                  <c:v>3087406.3112528296</c:v>
                </c:pt>
                <c:pt idx="257">
                  <c:v>2881579.2238359745</c:v>
                </c:pt>
                <c:pt idx="258">
                  <c:v>4862664.9402232058</c:v>
                </c:pt>
                <c:pt idx="259">
                  <c:v>4420604.491112005</c:v>
                </c:pt>
                <c:pt idx="260">
                  <c:v>4052220.7835193388</c:v>
                </c:pt>
                <c:pt idx="261">
                  <c:v>3740511.4924793895</c:v>
                </c:pt>
                <c:pt idx="262">
                  <c:v>3473332.1001594332</c:v>
                </c:pt>
                <c:pt idx="263">
                  <c:v>3241776.6268154709</c:v>
                </c:pt>
                <c:pt idx="264">
                  <c:v>3949971.7551492411</c:v>
                </c:pt>
                <c:pt idx="265">
                  <c:v>3590883.4137720377</c:v>
                </c:pt>
                <c:pt idx="266">
                  <c:v>3291643.1292910343</c:v>
                </c:pt>
                <c:pt idx="267">
                  <c:v>3038439.8116532625</c:v>
                </c:pt>
                <c:pt idx="268">
                  <c:v>2821408.3965351726</c:v>
                </c:pt>
                <c:pt idx="269">
                  <c:v>2633314.5034328275</c:v>
                </c:pt>
                <c:pt idx="270">
                  <c:v>4608300.3810074478</c:v>
                </c:pt>
                <c:pt idx="271">
                  <c:v>4189363.9827340436</c:v>
                </c:pt>
                <c:pt idx="272">
                  <c:v>3840250.3175062062</c:v>
                </c:pt>
                <c:pt idx="273">
                  <c:v>3544846.4469288061</c:v>
                </c:pt>
                <c:pt idx="274">
                  <c:v>3291643.1292910343</c:v>
                </c:pt>
                <c:pt idx="275">
                  <c:v>3072200.2540049651</c:v>
                </c:pt>
                <c:pt idx="276">
                  <c:v>5266629.0068656551</c:v>
                </c:pt>
                <c:pt idx="277">
                  <c:v>4787844.55169605</c:v>
                </c:pt>
                <c:pt idx="278">
                  <c:v>4388857.5057213791</c:v>
                </c:pt>
                <c:pt idx="279">
                  <c:v>4051253.0822043503</c:v>
                </c:pt>
                <c:pt idx="280">
                  <c:v>3761877.8620468969</c:v>
                </c:pt>
                <c:pt idx="281">
                  <c:v>3511086.0045771035</c:v>
                </c:pt>
                <c:pt idx="282">
                  <c:v>5924957.6327238623</c:v>
                </c:pt>
                <c:pt idx="283">
                  <c:v>5386325.1206580568</c:v>
                </c:pt>
                <c:pt idx="284">
                  <c:v>4937464.6939365519</c:v>
                </c:pt>
                <c:pt idx="285">
                  <c:v>4557659.7174798939</c:v>
                </c:pt>
                <c:pt idx="286">
                  <c:v>4232112.5948027587</c:v>
                </c:pt>
                <c:pt idx="287">
                  <c:v>3949971.7551492411</c:v>
                </c:pt>
                <c:pt idx="288">
                  <c:v>4750562.4700002791</c:v>
                </c:pt>
                <c:pt idx="289">
                  <c:v>4318693.1545457086</c:v>
                </c:pt>
                <c:pt idx="290">
                  <c:v>3958802.0583335659</c:v>
                </c:pt>
                <c:pt idx="291">
                  <c:v>3654278.823077138</c:v>
                </c:pt>
                <c:pt idx="292">
                  <c:v>3393258.9071430559</c:v>
                </c:pt>
                <c:pt idx="293">
                  <c:v>3167041.6466668528</c:v>
                </c:pt>
                <c:pt idx="294">
                  <c:v>5542322.8816669919</c:v>
                </c:pt>
                <c:pt idx="295">
                  <c:v>5038475.3469699929</c:v>
                </c:pt>
                <c:pt idx="296">
                  <c:v>4618602.4013891602</c:v>
                </c:pt>
                <c:pt idx="297">
                  <c:v>4263325.2935899943</c:v>
                </c:pt>
                <c:pt idx="298">
                  <c:v>3958802.0583335655</c:v>
                </c:pt>
                <c:pt idx="299">
                  <c:v>3694881.9211113281</c:v>
                </c:pt>
                <c:pt idx="300">
                  <c:v>6334083.2933337055</c:v>
                </c:pt>
                <c:pt idx="301">
                  <c:v>5758257.5393942781</c:v>
                </c:pt>
                <c:pt idx="302">
                  <c:v>5278402.7444447549</c:v>
                </c:pt>
                <c:pt idx="303">
                  <c:v>4872371.764102851</c:v>
                </c:pt>
                <c:pt idx="304">
                  <c:v>4524345.2095240755</c:v>
                </c:pt>
                <c:pt idx="305">
                  <c:v>4222722.1955558043</c:v>
                </c:pt>
                <c:pt idx="306">
                  <c:v>7125843.7050004192</c:v>
                </c:pt>
                <c:pt idx="307">
                  <c:v>6478039.7318185633</c:v>
                </c:pt>
                <c:pt idx="308">
                  <c:v>5938203.0875003496</c:v>
                </c:pt>
                <c:pt idx="309">
                  <c:v>5481418.2346157078</c:v>
                </c:pt>
                <c:pt idx="310">
                  <c:v>5089888.3607145846</c:v>
                </c:pt>
                <c:pt idx="311">
                  <c:v>4750562.4700002791</c:v>
                </c:pt>
                <c:pt idx="312">
                  <c:v>5643188.1254433375</c:v>
                </c:pt>
                <c:pt idx="313">
                  <c:v>5130171.023130306</c:v>
                </c:pt>
                <c:pt idx="314">
                  <c:v>4702656.7712027812</c:v>
                </c:pt>
                <c:pt idx="315">
                  <c:v>4340913.9426487209</c:v>
                </c:pt>
                <c:pt idx="316">
                  <c:v>4030848.6610309551</c:v>
                </c:pt>
                <c:pt idx="317">
                  <c:v>3762125.416962225</c:v>
                </c:pt>
                <c:pt idx="318">
                  <c:v>6583719.4796838937</c:v>
                </c:pt>
                <c:pt idx="319">
                  <c:v>5985199.5269853575</c:v>
                </c:pt>
                <c:pt idx="320">
                  <c:v>5486432.8997365776</c:v>
                </c:pt>
                <c:pt idx="321">
                  <c:v>5064399.5997568406</c:v>
                </c:pt>
                <c:pt idx="322">
                  <c:v>4702656.7712027812</c:v>
                </c:pt>
                <c:pt idx="323">
                  <c:v>4389146.3197892625</c:v>
                </c:pt>
                <c:pt idx="324">
                  <c:v>7524250.83392445</c:v>
                </c:pt>
                <c:pt idx="325">
                  <c:v>6840228.030840409</c:v>
                </c:pt>
                <c:pt idx="326">
                  <c:v>6270209.028270375</c:v>
                </c:pt>
                <c:pt idx="327">
                  <c:v>5787885.2568649612</c:v>
                </c:pt>
                <c:pt idx="328">
                  <c:v>5374464.8813746078</c:v>
                </c:pt>
                <c:pt idx="329">
                  <c:v>5016167.2226163</c:v>
                </c:pt>
                <c:pt idx="330">
                  <c:v>8464782.1881650072</c:v>
                </c:pt>
                <c:pt idx="331">
                  <c:v>7695256.5346954605</c:v>
                </c:pt>
                <c:pt idx="332">
                  <c:v>7053985.1568041723</c:v>
                </c:pt>
                <c:pt idx="333">
                  <c:v>6511370.9139730819</c:v>
                </c:pt>
                <c:pt idx="334">
                  <c:v>6046272.9915464334</c:v>
                </c:pt>
                <c:pt idx="335">
                  <c:v>5643188.1254433375</c:v>
                </c:pt>
                <c:pt idx="336">
                  <c:v>6617700</c:v>
                </c:pt>
                <c:pt idx="337">
                  <c:v>6016090.9090909092</c:v>
                </c:pt>
                <c:pt idx="338">
                  <c:v>5514750</c:v>
                </c:pt>
                <c:pt idx="339">
                  <c:v>5090538.461538462</c:v>
                </c:pt>
                <c:pt idx="340">
                  <c:v>4726928.5714285709</c:v>
                </c:pt>
                <c:pt idx="341">
                  <c:v>4411800</c:v>
                </c:pt>
                <c:pt idx="342">
                  <c:v>7720649.9999999991</c:v>
                </c:pt>
                <c:pt idx="343">
                  <c:v>7018772.7272727266</c:v>
                </c:pt>
                <c:pt idx="344">
                  <c:v>6433875</c:v>
                </c:pt>
                <c:pt idx="345">
                  <c:v>5938961.538461539</c:v>
                </c:pt>
                <c:pt idx="346">
                  <c:v>5514749.9999999991</c:v>
                </c:pt>
                <c:pt idx="347">
                  <c:v>5147100</c:v>
                </c:pt>
                <c:pt idx="348">
                  <c:v>8823600</c:v>
                </c:pt>
                <c:pt idx="349">
                  <c:v>8021454.5454545459</c:v>
                </c:pt>
                <c:pt idx="350">
                  <c:v>7353000</c:v>
                </c:pt>
                <c:pt idx="351">
                  <c:v>6787384.615384616</c:v>
                </c:pt>
                <c:pt idx="352">
                  <c:v>6302571.4285714291</c:v>
                </c:pt>
                <c:pt idx="353">
                  <c:v>5882400</c:v>
                </c:pt>
                <c:pt idx="354">
                  <c:v>9926550</c:v>
                </c:pt>
                <c:pt idx="355">
                  <c:v>9024136.3636363633</c:v>
                </c:pt>
                <c:pt idx="356">
                  <c:v>8272125</c:v>
                </c:pt>
                <c:pt idx="357">
                  <c:v>7635807.692307693</c:v>
                </c:pt>
                <c:pt idx="358">
                  <c:v>7090392.8571428573</c:v>
                </c:pt>
                <c:pt idx="359">
                  <c:v>6617700</c:v>
                </c:pt>
                <c:pt idx="360">
                  <c:v>7660814.9624999994</c:v>
                </c:pt>
                <c:pt idx="361">
                  <c:v>6964377.2386363642</c:v>
                </c:pt>
                <c:pt idx="362">
                  <c:v>6384012.46875</c:v>
                </c:pt>
                <c:pt idx="363">
                  <c:v>5892934.586538461</c:v>
                </c:pt>
                <c:pt idx="364">
                  <c:v>5472010.6875</c:v>
                </c:pt>
                <c:pt idx="365">
                  <c:v>5107209.9749999996</c:v>
                </c:pt>
                <c:pt idx="366">
                  <c:v>8937617.4562499989</c:v>
                </c:pt>
                <c:pt idx="367">
                  <c:v>8125106.7784090908</c:v>
                </c:pt>
                <c:pt idx="368">
                  <c:v>7448014.5468749991</c:v>
                </c:pt>
                <c:pt idx="369">
                  <c:v>6875090.3509615371</c:v>
                </c:pt>
                <c:pt idx="370">
                  <c:v>6384012.46875</c:v>
                </c:pt>
                <c:pt idx="371">
                  <c:v>5958411.6374999993</c:v>
                </c:pt>
                <c:pt idx="372">
                  <c:v>10214419.950000001</c:v>
                </c:pt>
                <c:pt idx="373">
                  <c:v>9285836.3181818184</c:v>
                </c:pt>
                <c:pt idx="374">
                  <c:v>8512016.625</c:v>
                </c:pt>
                <c:pt idx="375">
                  <c:v>7857246.115384615</c:v>
                </c:pt>
                <c:pt idx="376">
                  <c:v>7296014.25</c:v>
                </c:pt>
                <c:pt idx="377">
                  <c:v>6809613.3000000007</c:v>
                </c:pt>
                <c:pt idx="378">
                  <c:v>11491222.44375</c:v>
                </c:pt>
                <c:pt idx="379">
                  <c:v>10446565.857954547</c:v>
                </c:pt>
                <c:pt idx="380">
                  <c:v>9576018.703125</c:v>
                </c:pt>
                <c:pt idx="381">
                  <c:v>8839401.879807692</c:v>
                </c:pt>
                <c:pt idx="382">
                  <c:v>8208016.03125</c:v>
                </c:pt>
                <c:pt idx="383">
                  <c:v>7660814.9625000004</c:v>
                </c:pt>
                <c:pt idx="384">
                  <c:v>8808158.6999999993</c:v>
                </c:pt>
                <c:pt idx="385">
                  <c:v>8007417</c:v>
                </c:pt>
                <c:pt idx="386">
                  <c:v>7340132.25</c:v>
                </c:pt>
                <c:pt idx="387">
                  <c:v>6775506.692307692</c:v>
                </c:pt>
                <c:pt idx="388">
                  <c:v>6291541.9285714282</c:v>
                </c:pt>
                <c:pt idx="389">
                  <c:v>5872105.7999999998</c:v>
                </c:pt>
                <c:pt idx="390">
                  <c:v>10276185.149999999</c:v>
                </c:pt>
                <c:pt idx="391">
                  <c:v>9341986.5</c:v>
                </c:pt>
                <c:pt idx="392">
                  <c:v>8563487.625</c:v>
                </c:pt>
                <c:pt idx="393">
                  <c:v>7904757.807692307</c:v>
                </c:pt>
                <c:pt idx="394">
                  <c:v>7340132.25</c:v>
                </c:pt>
                <c:pt idx="395">
                  <c:v>6850790.0999999996</c:v>
                </c:pt>
                <c:pt idx="396">
                  <c:v>11744211.600000001</c:v>
                </c:pt>
                <c:pt idx="397">
                  <c:v>10676556</c:v>
                </c:pt>
                <c:pt idx="398">
                  <c:v>9786843</c:v>
                </c:pt>
                <c:pt idx="399">
                  <c:v>9034008.9230769239</c:v>
                </c:pt>
                <c:pt idx="400">
                  <c:v>8388722.5714285728</c:v>
                </c:pt>
                <c:pt idx="401">
                  <c:v>7829474.4000000004</c:v>
                </c:pt>
                <c:pt idx="402">
                  <c:v>13212238.050000001</c:v>
                </c:pt>
                <c:pt idx="403">
                  <c:v>12011125.5</c:v>
                </c:pt>
                <c:pt idx="404">
                  <c:v>11010198.375</c:v>
                </c:pt>
                <c:pt idx="405">
                  <c:v>10163260.038461538</c:v>
                </c:pt>
                <c:pt idx="406">
                  <c:v>9437312.8928571437</c:v>
                </c:pt>
                <c:pt idx="407">
                  <c:v>8808158.7000000011</c:v>
                </c:pt>
                <c:pt idx="408">
                  <c:v>10064694.487499999</c:v>
                </c:pt>
                <c:pt idx="409">
                  <c:v>9149722.2613636348</c:v>
                </c:pt>
                <c:pt idx="410">
                  <c:v>8387245.40625</c:v>
                </c:pt>
                <c:pt idx="411">
                  <c:v>7742072.682692308</c:v>
                </c:pt>
                <c:pt idx="412">
                  <c:v>7189067.4910714282</c:v>
                </c:pt>
                <c:pt idx="413">
                  <c:v>6709796.3250000002</c:v>
                </c:pt>
                <c:pt idx="414">
                  <c:v>11742143.56875</c:v>
                </c:pt>
                <c:pt idx="415">
                  <c:v>10674675.971590908</c:v>
                </c:pt>
                <c:pt idx="416">
                  <c:v>9785119.640625</c:v>
                </c:pt>
                <c:pt idx="417">
                  <c:v>9032418.129807692</c:v>
                </c:pt>
                <c:pt idx="418">
                  <c:v>8387245.40625</c:v>
                </c:pt>
                <c:pt idx="419">
                  <c:v>7828095.7124999994</c:v>
                </c:pt>
                <c:pt idx="420">
                  <c:v>13419592.65</c:v>
                </c:pt>
                <c:pt idx="421">
                  <c:v>12199629.681818182</c:v>
                </c:pt>
                <c:pt idx="422">
                  <c:v>11182993.875</c:v>
                </c:pt>
                <c:pt idx="423">
                  <c:v>10322763.57692308</c:v>
                </c:pt>
                <c:pt idx="424">
                  <c:v>9585423.3214285728</c:v>
                </c:pt>
                <c:pt idx="425">
                  <c:v>8946395.0999999996</c:v>
                </c:pt>
                <c:pt idx="426">
                  <c:v>15097041.731250001</c:v>
                </c:pt>
                <c:pt idx="427">
                  <c:v>13724583.392045455</c:v>
                </c:pt>
                <c:pt idx="428">
                  <c:v>12580868.109375</c:v>
                </c:pt>
                <c:pt idx="429">
                  <c:v>11613109.024038464</c:v>
                </c:pt>
                <c:pt idx="430">
                  <c:v>10783601.236607144</c:v>
                </c:pt>
                <c:pt idx="431">
                  <c:v>10064694.487500001</c:v>
                </c:pt>
                <c:pt idx="432">
                  <c:v>11417074.878351934</c:v>
                </c:pt>
                <c:pt idx="433">
                  <c:v>10379158.980319938</c:v>
                </c:pt>
                <c:pt idx="434">
                  <c:v>9514229.0652932767</c:v>
                </c:pt>
                <c:pt idx="435">
                  <c:v>8782365.2910399493</c:v>
                </c:pt>
                <c:pt idx="436">
                  <c:v>8155053.4845370948</c:v>
                </c:pt>
                <c:pt idx="437">
                  <c:v>7611383.2522346219</c:v>
                </c:pt>
                <c:pt idx="438">
                  <c:v>13319920.69141059</c:v>
                </c:pt>
                <c:pt idx="439">
                  <c:v>12109018.810373262</c:v>
                </c:pt>
                <c:pt idx="440">
                  <c:v>11099933.909508822</c:v>
                </c:pt>
                <c:pt idx="441">
                  <c:v>10246092.839546606</c:v>
                </c:pt>
                <c:pt idx="442">
                  <c:v>9514229.0652932767</c:v>
                </c:pt>
                <c:pt idx="443">
                  <c:v>8879947.1276070587</c:v>
                </c:pt>
                <c:pt idx="444">
                  <c:v>15222766.504469246</c:v>
                </c:pt>
                <c:pt idx="445">
                  <c:v>13838878.640426585</c:v>
                </c:pt>
                <c:pt idx="446">
                  <c:v>12685638.75372437</c:v>
                </c:pt>
                <c:pt idx="447">
                  <c:v>11709820.388053266</c:v>
                </c:pt>
                <c:pt idx="448">
                  <c:v>10873404.646049462</c:v>
                </c:pt>
                <c:pt idx="449">
                  <c:v>10148511.002979496</c:v>
                </c:pt>
                <c:pt idx="450">
                  <c:v>17125612.317527901</c:v>
                </c:pt>
                <c:pt idx="451">
                  <c:v>15568738.470479909</c:v>
                </c:pt>
                <c:pt idx="452">
                  <c:v>14271343.597939916</c:v>
                </c:pt>
                <c:pt idx="453">
                  <c:v>13173547.936559923</c:v>
                </c:pt>
                <c:pt idx="454">
                  <c:v>12232580.226805644</c:v>
                </c:pt>
                <c:pt idx="455">
                  <c:v>11417074.878351934</c:v>
                </c:pt>
                <c:pt idx="456">
                  <c:v>12843386.182418766</c:v>
                </c:pt>
                <c:pt idx="457">
                  <c:v>11675805.620380698</c:v>
                </c:pt>
                <c:pt idx="458">
                  <c:v>10702821.818682307</c:v>
                </c:pt>
                <c:pt idx="459">
                  <c:v>9879527.8326298203</c:v>
                </c:pt>
                <c:pt idx="460">
                  <c:v>9173847.2731562611</c:v>
                </c:pt>
                <c:pt idx="461">
                  <c:v>8562257.4549458455</c:v>
                </c:pt>
                <c:pt idx="462">
                  <c:v>14983950.546155227</c:v>
                </c:pt>
                <c:pt idx="463">
                  <c:v>13621773.22377748</c:v>
                </c:pt>
                <c:pt idx="464">
                  <c:v>12486625.455129357</c:v>
                </c:pt>
                <c:pt idx="465">
                  <c:v>11526115.804734791</c:v>
                </c:pt>
                <c:pt idx="466">
                  <c:v>10702821.818682306</c:v>
                </c:pt>
                <c:pt idx="467">
                  <c:v>9989300.3641034849</c:v>
                </c:pt>
                <c:pt idx="468">
                  <c:v>17124514.909891691</c:v>
                </c:pt>
                <c:pt idx="469">
                  <c:v>15567740.827174265</c:v>
                </c:pt>
                <c:pt idx="470">
                  <c:v>14270429.09157641</c:v>
                </c:pt>
                <c:pt idx="471">
                  <c:v>13172703.776839763</c:v>
                </c:pt>
                <c:pt idx="472">
                  <c:v>12231796.36420835</c:v>
                </c:pt>
                <c:pt idx="473">
                  <c:v>11416343.273261128</c:v>
                </c:pt>
                <c:pt idx="474">
                  <c:v>19265079.273628149</c:v>
                </c:pt>
                <c:pt idx="475">
                  <c:v>17513708.430571049</c:v>
                </c:pt>
                <c:pt idx="476">
                  <c:v>16054232.72802346</c:v>
                </c:pt>
                <c:pt idx="477">
                  <c:v>14819291.748944731</c:v>
                </c:pt>
                <c:pt idx="478">
                  <c:v>13760770.909734394</c:v>
                </c:pt>
                <c:pt idx="479">
                  <c:v>12843386.182418767</c:v>
                </c:pt>
                <c:pt idx="480">
                  <c:v>14352843.124718515</c:v>
                </c:pt>
                <c:pt idx="481">
                  <c:v>13048039.204289557</c:v>
                </c:pt>
                <c:pt idx="482">
                  <c:v>11960702.603932096</c:v>
                </c:pt>
                <c:pt idx="483">
                  <c:v>11040648.557475779</c:v>
                </c:pt>
                <c:pt idx="484">
                  <c:v>10252030.803370368</c:v>
                </c:pt>
                <c:pt idx="485">
                  <c:v>9568562.0831456762</c:v>
                </c:pt>
                <c:pt idx="486">
                  <c:v>16744983.645504933</c:v>
                </c:pt>
                <c:pt idx="487">
                  <c:v>15222712.405004485</c:v>
                </c:pt>
                <c:pt idx="488">
                  <c:v>13954153.037920777</c:v>
                </c:pt>
                <c:pt idx="489">
                  <c:v>12880756.650388408</c:v>
                </c:pt>
                <c:pt idx="490">
                  <c:v>11960702.603932096</c:v>
                </c:pt>
                <c:pt idx="491">
                  <c:v>11163322.430336623</c:v>
                </c:pt>
                <c:pt idx="492">
                  <c:v>19137124.166291352</c:v>
                </c:pt>
                <c:pt idx="493">
                  <c:v>17397385.605719414</c:v>
                </c:pt>
                <c:pt idx="494">
                  <c:v>15947603.471909462</c:v>
                </c:pt>
                <c:pt idx="495">
                  <c:v>14720864.743301041</c:v>
                </c:pt>
                <c:pt idx="496">
                  <c:v>13669374.404493824</c:v>
                </c:pt>
                <c:pt idx="497">
                  <c:v>12758082.777527571</c:v>
                </c:pt>
                <c:pt idx="498">
                  <c:v>21529264.687077772</c:v>
                </c:pt>
                <c:pt idx="499">
                  <c:v>19572058.806434337</c:v>
                </c:pt>
                <c:pt idx="500">
                  <c:v>17941053.905898143</c:v>
                </c:pt>
                <c:pt idx="501">
                  <c:v>16560972.836213671</c:v>
                </c:pt>
                <c:pt idx="502">
                  <c:v>15378046.205055552</c:v>
                </c:pt>
                <c:pt idx="503">
                  <c:v>14352843.124718515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CSR_VBM!$M$1</c:f>
              <c:strCache>
                <c:ptCount val="1"/>
                <c:pt idx="0">
                  <c:v>Mv-s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CSR_VBM!$A$2:$A$505</c:f>
              <c:numCache>
                <c:formatCode>General</c:formatCode>
                <c:ptCount val="504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105</c:v>
                </c:pt>
                <c:pt idx="25">
                  <c:v>105</c:v>
                </c:pt>
                <c:pt idx="26">
                  <c:v>105</c:v>
                </c:pt>
                <c:pt idx="27">
                  <c:v>105</c:v>
                </c:pt>
                <c:pt idx="28">
                  <c:v>105</c:v>
                </c:pt>
                <c:pt idx="29">
                  <c:v>105</c:v>
                </c:pt>
                <c:pt idx="30">
                  <c:v>105</c:v>
                </c:pt>
                <c:pt idx="31">
                  <c:v>105</c:v>
                </c:pt>
                <c:pt idx="32">
                  <c:v>105</c:v>
                </c:pt>
                <c:pt idx="33">
                  <c:v>105</c:v>
                </c:pt>
                <c:pt idx="34">
                  <c:v>105</c:v>
                </c:pt>
                <c:pt idx="35">
                  <c:v>105</c:v>
                </c:pt>
                <c:pt idx="36">
                  <c:v>105</c:v>
                </c:pt>
                <c:pt idx="37">
                  <c:v>105</c:v>
                </c:pt>
                <c:pt idx="38">
                  <c:v>105</c:v>
                </c:pt>
                <c:pt idx="39">
                  <c:v>105</c:v>
                </c:pt>
                <c:pt idx="40">
                  <c:v>105</c:v>
                </c:pt>
                <c:pt idx="41">
                  <c:v>105</c:v>
                </c:pt>
                <c:pt idx="42">
                  <c:v>105</c:v>
                </c:pt>
                <c:pt idx="43">
                  <c:v>105</c:v>
                </c:pt>
                <c:pt idx="44">
                  <c:v>105</c:v>
                </c:pt>
                <c:pt idx="45">
                  <c:v>105</c:v>
                </c:pt>
                <c:pt idx="46">
                  <c:v>105</c:v>
                </c:pt>
                <c:pt idx="47">
                  <c:v>105</c:v>
                </c:pt>
                <c:pt idx="48">
                  <c:v>120</c:v>
                </c:pt>
                <c:pt idx="49">
                  <c:v>120</c:v>
                </c:pt>
                <c:pt idx="50">
                  <c:v>120</c:v>
                </c:pt>
                <c:pt idx="51">
                  <c:v>120</c:v>
                </c:pt>
                <c:pt idx="52">
                  <c:v>120</c:v>
                </c:pt>
                <c:pt idx="53">
                  <c:v>120</c:v>
                </c:pt>
                <c:pt idx="54">
                  <c:v>120</c:v>
                </c:pt>
                <c:pt idx="55">
                  <c:v>120</c:v>
                </c:pt>
                <c:pt idx="56">
                  <c:v>120</c:v>
                </c:pt>
                <c:pt idx="57">
                  <c:v>120</c:v>
                </c:pt>
                <c:pt idx="58">
                  <c:v>120</c:v>
                </c:pt>
                <c:pt idx="59">
                  <c:v>120</c:v>
                </c:pt>
                <c:pt idx="60">
                  <c:v>120</c:v>
                </c:pt>
                <c:pt idx="61">
                  <c:v>120</c:v>
                </c:pt>
                <c:pt idx="62">
                  <c:v>120</c:v>
                </c:pt>
                <c:pt idx="63">
                  <c:v>120</c:v>
                </c:pt>
                <c:pt idx="64">
                  <c:v>120</c:v>
                </c:pt>
                <c:pt idx="65">
                  <c:v>120</c:v>
                </c:pt>
                <c:pt idx="66">
                  <c:v>120</c:v>
                </c:pt>
                <c:pt idx="67">
                  <c:v>120</c:v>
                </c:pt>
                <c:pt idx="68">
                  <c:v>120</c:v>
                </c:pt>
                <c:pt idx="69">
                  <c:v>120</c:v>
                </c:pt>
                <c:pt idx="70">
                  <c:v>120</c:v>
                </c:pt>
                <c:pt idx="71">
                  <c:v>120</c:v>
                </c:pt>
                <c:pt idx="72">
                  <c:v>135</c:v>
                </c:pt>
                <c:pt idx="73">
                  <c:v>135</c:v>
                </c:pt>
                <c:pt idx="74">
                  <c:v>135</c:v>
                </c:pt>
                <c:pt idx="75">
                  <c:v>135</c:v>
                </c:pt>
                <c:pt idx="76">
                  <c:v>135</c:v>
                </c:pt>
                <c:pt idx="77">
                  <c:v>135</c:v>
                </c:pt>
                <c:pt idx="78">
                  <c:v>135</c:v>
                </c:pt>
                <c:pt idx="79">
                  <c:v>135</c:v>
                </c:pt>
                <c:pt idx="80">
                  <c:v>135</c:v>
                </c:pt>
                <c:pt idx="81">
                  <c:v>135</c:v>
                </c:pt>
                <c:pt idx="82">
                  <c:v>135</c:v>
                </c:pt>
                <c:pt idx="83">
                  <c:v>135</c:v>
                </c:pt>
                <c:pt idx="84">
                  <c:v>135</c:v>
                </c:pt>
                <c:pt idx="85">
                  <c:v>135</c:v>
                </c:pt>
                <c:pt idx="86">
                  <c:v>135</c:v>
                </c:pt>
                <c:pt idx="87">
                  <c:v>135</c:v>
                </c:pt>
                <c:pt idx="88">
                  <c:v>135</c:v>
                </c:pt>
                <c:pt idx="89">
                  <c:v>135</c:v>
                </c:pt>
                <c:pt idx="90">
                  <c:v>135</c:v>
                </c:pt>
                <c:pt idx="91">
                  <c:v>135</c:v>
                </c:pt>
                <c:pt idx="92">
                  <c:v>135</c:v>
                </c:pt>
                <c:pt idx="93">
                  <c:v>135</c:v>
                </c:pt>
                <c:pt idx="94">
                  <c:v>135</c:v>
                </c:pt>
                <c:pt idx="95">
                  <c:v>135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165</c:v>
                </c:pt>
                <c:pt idx="121">
                  <c:v>165</c:v>
                </c:pt>
                <c:pt idx="122">
                  <c:v>165</c:v>
                </c:pt>
                <c:pt idx="123">
                  <c:v>165</c:v>
                </c:pt>
                <c:pt idx="124">
                  <c:v>165</c:v>
                </c:pt>
                <c:pt idx="125">
                  <c:v>165</c:v>
                </c:pt>
                <c:pt idx="126">
                  <c:v>165</c:v>
                </c:pt>
                <c:pt idx="127">
                  <c:v>165</c:v>
                </c:pt>
                <c:pt idx="128">
                  <c:v>165</c:v>
                </c:pt>
                <c:pt idx="129">
                  <c:v>165</c:v>
                </c:pt>
                <c:pt idx="130">
                  <c:v>165</c:v>
                </c:pt>
                <c:pt idx="131">
                  <c:v>165</c:v>
                </c:pt>
                <c:pt idx="132">
                  <c:v>165</c:v>
                </c:pt>
                <c:pt idx="133">
                  <c:v>165</c:v>
                </c:pt>
                <c:pt idx="134">
                  <c:v>165</c:v>
                </c:pt>
                <c:pt idx="135">
                  <c:v>165</c:v>
                </c:pt>
                <c:pt idx="136">
                  <c:v>165</c:v>
                </c:pt>
                <c:pt idx="137">
                  <c:v>165</c:v>
                </c:pt>
                <c:pt idx="138">
                  <c:v>165</c:v>
                </c:pt>
                <c:pt idx="139">
                  <c:v>165</c:v>
                </c:pt>
                <c:pt idx="140">
                  <c:v>165</c:v>
                </c:pt>
                <c:pt idx="141">
                  <c:v>165</c:v>
                </c:pt>
                <c:pt idx="142">
                  <c:v>165</c:v>
                </c:pt>
                <c:pt idx="143">
                  <c:v>165</c:v>
                </c:pt>
                <c:pt idx="144">
                  <c:v>180</c:v>
                </c:pt>
                <c:pt idx="145">
                  <c:v>180</c:v>
                </c:pt>
                <c:pt idx="146">
                  <c:v>180</c:v>
                </c:pt>
                <c:pt idx="147">
                  <c:v>180</c:v>
                </c:pt>
                <c:pt idx="148">
                  <c:v>180</c:v>
                </c:pt>
                <c:pt idx="149">
                  <c:v>180</c:v>
                </c:pt>
                <c:pt idx="150">
                  <c:v>180</c:v>
                </c:pt>
                <c:pt idx="151">
                  <c:v>180</c:v>
                </c:pt>
                <c:pt idx="152">
                  <c:v>180</c:v>
                </c:pt>
                <c:pt idx="153">
                  <c:v>180</c:v>
                </c:pt>
                <c:pt idx="154">
                  <c:v>180</c:v>
                </c:pt>
                <c:pt idx="155">
                  <c:v>180</c:v>
                </c:pt>
                <c:pt idx="156">
                  <c:v>180</c:v>
                </c:pt>
                <c:pt idx="157">
                  <c:v>180</c:v>
                </c:pt>
                <c:pt idx="158">
                  <c:v>180</c:v>
                </c:pt>
                <c:pt idx="159">
                  <c:v>180</c:v>
                </c:pt>
                <c:pt idx="160">
                  <c:v>180</c:v>
                </c:pt>
                <c:pt idx="161">
                  <c:v>180</c:v>
                </c:pt>
                <c:pt idx="162">
                  <c:v>180</c:v>
                </c:pt>
                <c:pt idx="163">
                  <c:v>180</c:v>
                </c:pt>
                <c:pt idx="164">
                  <c:v>180</c:v>
                </c:pt>
                <c:pt idx="165">
                  <c:v>180</c:v>
                </c:pt>
                <c:pt idx="166">
                  <c:v>180</c:v>
                </c:pt>
                <c:pt idx="167">
                  <c:v>180</c:v>
                </c:pt>
                <c:pt idx="168">
                  <c:v>195</c:v>
                </c:pt>
                <c:pt idx="169">
                  <c:v>195</c:v>
                </c:pt>
                <c:pt idx="170">
                  <c:v>195</c:v>
                </c:pt>
                <c:pt idx="171">
                  <c:v>195</c:v>
                </c:pt>
                <c:pt idx="172">
                  <c:v>195</c:v>
                </c:pt>
                <c:pt idx="173">
                  <c:v>195</c:v>
                </c:pt>
                <c:pt idx="174">
                  <c:v>195</c:v>
                </c:pt>
                <c:pt idx="175">
                  <c:v>195</c:v>
                </c:pt>
                <c:pt idx="176">
                  <c:v>195</c:v>
                </c:pt>
                <c:pt idx="177">
                  <c:v>195</c:v>
                </c:pt>
                <c:pt idx="178">
                  <c:v>195</c:v>
                </c:pt>
                <c:pt idx="179">
                  <c:v>195</c:v>
                </c:pt>
                <c:pt idx="180">
                  <c:v>195</c:v>
                </c:pt>
                <c:pt idx="181">
                  <c:v>195</c:v>
                </c:pt>
                <c:pt idx="182">
                  <c:v>195</c:v>
                </c:pt>
                <c:pt idx="183">
                  <c:v>195</c:v>
                </c:pt>
                <c:pt idx="184">
                  <c:v>195</c:v>
                </c:pt>
                <c:pt idx="185">
                  <c:v>195</c:v>
                </c:pt>
                <c:pt idx="186">
                  <c:v>195</c:v>
                </c:pt>
                <c:pt idx="187">
                  <c:v>195</c:v>
                </c:pt>
                <c:pt idx="188">
                  <c:v>195</c:v>
                </c:pt>
                <c:pt idx="189">
                  <c:v>195</c:v>
                </c:pt>
                <c:pt idx="190">
                  <c:v>195</c:v>
                </c:pt>
                <c:pt idx="191">
                  <c:v>195</c:v>
                </c:pt>
                <c:pt idx="192">
                  <c:v>210</c:v>
                </c:pt>
                <c:pt idx="193">
                  <c:v>210</c:v>
                </c:pt>
                <c:pt idx="194">
                  <c:v>210</c:v>
                </c:pt>
                <c:pt idx="195">
                  <c:v>210</c:v>
                </c:pt>
                <c:pt idx="196">
                  <c:v>210</c:v>
                </c:pt>
                <c:pt idx="197">
                  <c:v>210</c:v>
                </c:pt>
                <c:pt idx="198">
                  <c:v>210</c:v>
                </c:pt>
                <c:pt idx="199">
                  <c:v>210</c:v>
                </c:pt>
                <c:pt idx="200">
                  <c:v>210</c:v>
                </c:pt>
                <c:pt idx="201">
                  <c:v>210</c:v>
                </c:pt>
                <c:pt idx="202">
                  <c:v>210</c:v>
                </c:pt>
                <c:pt idx="203">
                  <c:v>210</c:v>
                </c:pt>
                <c:pt idx="204">
                  <c:v>210</c:v>
                </c:pt>
                <c:pt idx="205">
                  <c:v>210</c:v>
                </c:pt>
                <c:pt idx="206">
                  <c:v>210</c:v>
                </c:pt>
                <c:pt idx="207">
                  <c:v>210</c:v>
                </c:pt>
                <c:pt idx="208">
                  <c:v>210</c:v>
                </c:pt>
                <c:pt idx="209">
                  <c:v>210</c:v>
                </c:pt>
                <c:pt idx="210">
                  <c:v>210</c:v>
                </c:pt>
                <c:pt idx="211">
                  <c:v>210</c:v>
                </c:pt>
                <c:pt idx="212">
                  <c:v>210</c:v>
                </c:pt>
                <c:pt idx="213">
                  <c:v>210</c:v>
                </c:pt>
                <c:pt idx="214">
                  <c:v>210</c:v>
                </c:pt>
                <c:pt idx="215">
                  <c:v>210</c:v>
                </c:pt>
                <c:pt idx="216">
                  <c:v>225</c:v>
                </c:pt>
                <c:pt idx="217">
                  <c:v>225</c:v>
                </c:pt>
                <c:pt idx="218">
                  <c:v>225</c:v>
                </c:pt>
                <c:pt idx="219">
                  <c:v>225</c:v>
                </c:pt>
                <c:pt idx="220">
                  <c:v>225</c:v>
                </c:pt>
                <c:pt idx="221">
                  <c:v>225</c:v>
                </c:pt>
                <c:pt idx="222">
                  <c:v>225</c:v>
                </c:pt>
                <c:pt idx="223">
                  <c:v>225</c:v>
                </c:pt>
                <c:pt idx="224">
                  <c:v>225</c:v>
                </c:pt>
                <c:pt idx="225">
                  <c:v>225</c:v>
                </c:pt>
                <c:pt idx="226">
                  <c:v>225</c:v>
                </c:pt>
                <c:pt idx="227">
                  <c:v>225</c:v>
                </c:pt>
                <c:pt idx="228">
                  <c:v>225</c:v>
                </c:pt>
                <c:pt idx="229">
                  <c:v>225</c:v>
                </c:pt>
                <c:pt idx="230">
                  <c:v>225</c:v>
                </c:pt>
                <c:pt idx="231">
                  <c:v>225</c:v>
                </c:pt>
                <c:pt idx="232">
                  <c:v>225</c:v>
                </c:pt>
                <c:pt idx="233">
                  <c:v>225</c:v>
                </c:pt>
                <c:pt idx="234">
                  <c:v>225</c:v>
                </c:pt>
                <c:pt idx="235">
                  <c:v>225</c:v>
                </c:pt>
                <c:pt idx="236">
                  <c:v>225</c:v>
                </c:pt>
                <c:pt idx="237">
                  <c:v>225</c:v>
                </c:pt>
                <c:pt idx="238">
                  <c:v>225</c:v>
                </c:pt>
                <c:pt idx="239">
                  <c:v>225</c:v>
                </c:pt>
                <c:pt idx="240">
                  <c:v>240</c:v>
                </c:pt>
                <c:pt idx="241">
                  <c:v>240</c:v>
                </c:pt>
                <c:pt idx="242">
                  <c:v>240</c:v>
                </c:pt>
                <c:pt idx="243">
                  <c:v>240</c:v>
                </c:pt>
                <c:pt idx="244">
                  <c:v>240</c:v>
                </c:pt>
                <c:pt idx="245">
                  <c:v>240</c:v>
                </c:pt>
                <c:pt idx="246">
                  <c:v>240</c:v>
                </c:pt>
                <c:pt idx="247">
                  <c:v>240</c:v>
                </c:pt>
                <c:pt idx="248">
                  <c:v>240</c:v>
                </c:pt>
                <c:pt idx="249">
                  <c:v>240</c:v>
                </c:pt>
                <c:pt idx="250">
                  <c:v>240</c:v>
                </c:pt>
                <c:pt idx="251">
                  <c:v>240</c:v>
                </c:pt>
                <c:pt idx="252">
                  <c:v>240</c:v>
                </c:pt>
                <c:pt idx="253">
                  <c:v>240</c:v>
                </c:pt>
                <c:pt idx="254">
                  <c:v>240</c:v>
                </c:pt>
                <c:pt idx="255">
                  <c:v>240</c:v>
                </c:pt>
                <c:pt idx="256">
                  <c:v>240</c:v>
                </c:pt>
                <c:pt idx="257">
                  <c:v>240</c:v>
                </c:pt>
                <c:pt idx="258">
                  <c:v>240</c:v>
                </c:pt>
                <c:pt idx="259">
                  <c:v>240</c:v>
                </c:pt>
                <c:pt idx="260">
                  <c:v>240</c:v>
                </c:pt>
                <c:pt idx="261">
                  <c:v>240</c:v>
                </c:pt>
                <c:pt idx="262">
                  <c:v>240</c:v>
                </c:pt>
                <c:pt idx="263">
                  <c:v>240</c:v>
                </c:pt>
                <c:pt idx="264">
                  <c:v>255</c:v>
                </c:pt>
                <c:pt idx="265">
                  <c:v>255</c:v>
                </c:pt>
                <c:pt idx="266">
                  <c:v>255</c:v>
                </c:pt>
                <c:pt idx="267">
                  <c:v>255</c:v>
                </c:pt>
                <c:pt idx="268">
                  <c:v>255</c:v>
                </c:pt>
                <c:pt idx="269">
                  <c:v>255</c:v>
                </c:pt>
                <c:pt idx="270">
                  <c:v>255</c:v>
                </c:pt>
                <c:pt idx="271">
                  <c:v>255</c:v>
                </c:pt>
                <c:pt idx="272">
                  <c:v>255</c:v>
                </c:pt>
                <c:pt idx="273">
                  <c:v>255</c:v>
                </c:pt>
                <c:pt idx="274">
                  <c:v>255</c:v>
                </c:pt>
                <c:pt idx="275">
                  <c:v>255</c:v>
                </c:pt>
                <c:pt idx="276">
                  <c:v>255</c:v>
                </c:pt>
                <c:pt idx="277">
                  <c:v>255</c:v>
                </c:pt>
                <c:pt idx="278">
                  <c:v>255</c:v>
                </c:pt>
                <c:pt idx="279">
                  <c:v>255</c:v>
                </c:pt>
                <c:pt idx="280">
                  <c:v>255</c:v>
                </c:pt>
                <c:pt idx="281">
                  <c:v>255</c:v>
                </c:pt>
                <c:pt idx="282">
                  <c:v>255</c:v>
                </c:pt>
                <c:pt idx="283">
                  <c:v>255</c:v>
                </c:pt>
                <c:pt idx="284">
                  <c:v>255</c:v>
                </c:pt>
                <c:pt idx="285">
                  <c:v>255</c:v>
                </c:pt>
                <c:pt idx="286">
                  <c:v>255</c:v>
                </c:pt>
                <c:pt idx="287">
                  <c:v>255</c:v>
                </c:pt>
                <c:pt idx="288">
                  <c:v>270</c:v>
                </c:pt>
                <c:pt idx="289">
                  <c:v>270</c:v>
                </c:pt>
                <c:pt idx="290">
                  <c:v>270</c:v>
                </c:pt>
                <c:pt idx="291">
                  <c:v>270</c:v>
                </c:pt>
                <c:pt idx="292">
                  <c:v>270</c:v>
                </c:pt>
                <c:pt idx="293">
                  <c:v>270</c:v>
                </c:pt>
                <c:pt idx="294">
                  <c:v>270</c:v>
                </c:pt>
                <c:pt idx="295">
                  <c:v>270</c:v>
                </c:pt>
                <c:pt idx="296">
                  <c:v>270</c:v>
                </c:pt>
                <c:pt idx="297">
                  <c:v>270</c:v>
                </c:pt>
                <c:pt idx="298">
                  <c:v>270</c:v>
                </c:pt>
                <c:pt idx="299">
                  <c:v>270</c:v>
                </c:pt>
                <c:pt idx="300">
                  <c:v>270</c:v>
                </c:pt>
                <c:pt idx="301">
                  <c:v>270</c:v>
                </c:pt>
                <c:pt idx="302">
                  <c:v>270</c:v>
                </c:pt>
                <c:pt idx="303">
                  <c:v>270</c:v>
                </c:pt>
                <c:pt idx="304">
                  <c:v>270</c:v>
                </c:pt>
                <c:pt idx="305">
                  <c:v>270</c:v>
                </c:pt>
                <c:pt idx="306">
                  <c:v>270</c:v>
                </c:pt>
                <c:pt idx="307">
                  <c:v>270</c:v>
                </c:pt>
                <c:pt idx="308">
                  <c:v>270</c:v>
                </c:pt>
                <c:pt idx="309">
                  <c:v>270</c:v>
                </c:pt>
                <c:pt idx="310">
                  <c:v>270</c:v>
                </c:pt>
                <c:pt idx="311">
                  <c:v>270</c:v>
                </c:pt>
                <c:pt idx="312">
                  <c:v>285</c:v>
                </c:pt>
                <c:pt idx="313">
                  <c:v>285</c:v>
                </c:pt>
                <c:pt idx="314">
                  <c:v>285</c:v>
                </c:pt>
                <c:pt idx="315">
                  <c:v>285</c:v>
                </c:pt>
                <c:pt idx="316">
                  <c:v>285</c:v>
                </c:pt>
                <c:pt idx="317">
                  <c:v>285</c:v>
                </c:pt>
                <c:pt idx="318">
                  <c:v>285</c:v>
                </c:pt>
                <c:pt idx="319">
                  <c:v>285</c:v>
                </c:pt>
                <c:pt idx="320">
                  <c:v>285</c:v>
                </c:pt>
                <c:pt idx="321">
                  <c:v>285</c:v>
                </c:pt>
                <c:pt idx="322">
                  <c:v>285</c:v>
                </c:pt>
                <c:pt idx="323">
                  <c:v>285</c:v>
                </c:pt>
                <c:pt idx="324">
                  <c:v>285</c:v>
                </c:pt>
                <c:pt idx="325">
                  <c:v>285</c:v>
                </c:pt>
                <c:pt idx="326">
                  <c:v>285</c:v>
                </c:pt>
                <c:pt idx="327">
                  <c:v>285</c:v>
                </c:pt>
                <c:pt idx="328">
                  <c:v>285</c:v>
                </c:pt>
                <c:pt idx="329">
                  <c:v>285</c:v>
                </c:pt>
                <c:pt idx="330">
                  <c:v>285</c:v>
                </c:pt>
                <c:pt idx="331">
                  <c:v>285</c:v>
                </c:pt>
                <c:pt idx="332">
                  <c:v>285</c:v>
                </c:pt>
                <c:pt idx="333">
                  <c:v>285</c:v>
                </c:pt>
                <c:pt idx="334">
                  <c:v>285</c:v>
                </c:pt>
                <c:pt idx="335">
                  <c:v>285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315</c:v>
                </c:pt>
                <c:pt idx="361">
                  <c:v>315</c:v>
                </c:pt>
                <c:pt idx="362">
                  <c:v>315</c:v>
                </c:pt>
                <c:pt idx="363">
                  <c:v>315</c:v>
                </c:pt>
                <c:pt idx="364">
                  <c:v>315</c:v>
                </c:pt>
                <c:pt idx="365">
                  <c:v>315</c:v>
                </c:pt>
                <c:pt idx="366">
                  <c:v>315</c:v>
                </c:pt>
                <c:pt idx="367">
                  <c:v>315</c:v>
                </c:pt>
                <c:pt idx="368">
                  <c:v>315</c:v>
                </c:pt>
                <c:pt idx="369">
                  <c:v>315</c:v>
                </c:pt>
                <c:pt idx="370">
                  <c:v>315</c:v>
                </c:pt>
                <c:pt idx="371">
                  <c:v>315</c:v>
                </c:pt>
                <c:pt idx="372">
                  <c:v>315</c:v>
                </c:pt>
                <c:pt idx="373">
                  <c:v>315</c:v>
                </c:pt>
                <c:pt idx="374">
                  <c:v>315</c:v>
                </c:pt>
                <c:pt idx="375">
                  <c:v>315</c:v>
                </c:pt>
                <c:pt idx="376">
                  <c:v>315</c:v>
                </c:pt>
                <c:pt idx="377">
                  <c:v>315</c:v>
                </c:pt>
                <c:pt idx="378">
                  <c:v>315</c:v>
                </c:pt>
                <c:pt idx="379">
                  <c:v>315</c:v>
                </c:pt>
                <c:pt idx="380">
                  <c:v>315</c:v>
                </c:pt>
                <c:pt idx="381">
                  <c:v>315</c:v>
                </c:pt>
                <c:pt idx="382">
                  <c:v>315</c:v>
                </c:pt>
                <c:pt idx="383">
                  <c:v>315</c:v>
                </c:pt>
                <c:pt idx="384">
                  <c:v>330</c:v>
                </c:pt>
                <c:pt idx="385">
                  <c:v>330</c:v>
                </c:pt>
                <c:pt idx="386">
                  <c:v>330</c:v>
                </c:pt>
                <c:pt idx="387">
                  <c:v>330</c:v>
                </c:pt>
                <c:pt idx="388">
                  <c:v>330</c:v>
                </c:pt>
                <c:pt idx="389">
                  <c:v>330</c:v>
                </c:pt>
                <c:pt idx="390">
                  <c:v>330</c:v>
                </c:pt>
                <c:pt idx="391">
                  <c:v>330</c:v>
                </c:pt>
                <c:pt idx="392">
                  <c:v>330</c:v>
                </c:pt>
                <c:pt idx="393">
                  <c:v>330</c:v>
                </c:pt>
                <c:pt idx="394">
                  <c:v>330</c:v>
                </c:pt>
                <c:pt idx="395">
                  <c:v>330</c:v>
                </c:pt>
                <c:pt idx="396">
                  <c:v>330</c:v>
                </c:pt>
                <c:pt idx="397">
                  <c:v>330</c:v>
                </c:pt>
                <c:pt idx="398">
                  <c:v>330</c:v>
                </c:pt>
                <c:pt idx="399">
                  <c:v>330</c:v>
                </c:pt>
                <c:pt idx="400">
                  <c:v>330</c:v>
                </c:pt>
                <c:pt idx="401">
                  <c:v>330</c:v>
                </c:pt>
                <c:pt idx="402">
                  <c:v>330</c:v>
                </c:pt>
                <c:pt idx="403">
                  <c:v>330</c:v>
                </c:pt>
                <c:pt idx="404">
                  <c:v>330</c:v>
                </c:pt>
                <c:pt idx="405">
                  <c:v>330</c:v>
                </c:pt>
                <c:pt idx="406">
                  <c:v>330</c:v>
                </c:pt>
                <c:pt idx="407">
                  <c:v>330</c:v>
                </c:pt>
                <c:pt idx="408">
                  <c:v>345</c:v>
                </c:pt>
                <c:pt idx="409">
                  <c:v>345</c:v>
                </c:pt>
                <c:pt idx="410">
                  <c:v>345</c:v>
                </c:pt>
                <c:pt idx="411">
                  <c:v>345</c:v>
                </c:pt>
                <c:pt idx="412">
                  <c:v>345</c:v>
                </c:pt>
                <c:pt idx="413">
                  <c:v>345</c:v>
                </c:pt>
                <c:pt idx="414">
                  <c:v>345</c:v>
                </c:pt>
                <c:pt idx="415">
                  <c:v>345</c:v>
                </c:pt>
                <c:pt idx="416">
                  <c:v>345</c:v>
                </c:pt>
                <c:pt idx="417">
                  <c:v>345</c:v>
                </c:pt>
                <c:pt idx="418">
                  <c:v>345</c:v>
                </c:pt>
                <c:pt idx="419">
                  <c:v>345</c:v>
                </c:pt>
                <c:pt idx="420">
                  <c:v>345</c:v>
                </c:pt>
                <c:pt idx="421">
                  <c:v>345</c:v>
                </c:pt>
                <c:pt idx="422">
                  <c:v>345</c:v>
                </c:pt>
                <c:pt idx="423">
                  <c:v>345</c:v>
                </c:pt>
                <c:pt idx="424">
                  <c:v>345</c:v>
                </c:pt>
                <c:pt idx="425">
                  <c:v>345</c:v>
                </c:pt>
                <c:pt idx="426">
                  <c:v>345</c:v>
                </c:pt>
                <c:pt idx="427">
                  <c:v>345</c:v>
                </c:pt>
                <c:pt idx="428">
                  <c:v>345</c:v>
                </c:pt>
                <c:pt idx="429">
                  <c:v>345</c:v>
                </c:pt>
                <c:pt idx="430">
                  <c:v>345</c:v>
                </c:pt>
                <c:pt idx="431">
                  <c:v>345</c:v>
                </c:pt>
                <c:pt idx="432">
                  <c:v>360</c:v>
                </c:pt>
                <c:pt idx="433">
                  <c:v>360</c:v>
                </c:pt>
                <c:pt idx="434">
                  <c:v>360</c:v>
                </c:pt>
                <c:pt idx="435">
                  <c:v>360</c:v>
                </c:pt>
                <c:pt idx="436">
                  <c:v>360</c:v>
                </c:pt>
                <c:pt idx="437">
                  <c:v>360</c:v>
                </c:pt>
                <c:pt idx="438">
                  <c:v>360</c:v>
                </c:pt>
                <c:pt idx="439">
                  <c:v>360</c:v>
                </c:pt>
                <c:pt idx="440">
                  <c:v>360</c:v>
                </c:pt>
                <c:pt idx="441">
                  <c:v>360</c:v>
                </c:pt>
                <c:pt idx="442">
                  <c:v>360</c:v>
                </c:pt>
                <c:pt idx="443">
                  <c:v>360</c:v>
                </c:pt>
                <c:pt idx="444">
                  <c:v>360</c:v>
                </c:pt>
                <c:pt idx="445">
                  <c:v>360</c:v>
                </c:pt>
                <c:pt idx="446">
                  <c:v>360</c:v>
                </c:pt>
                <c:pt idx="447">
                  <c:v>360</c:v>
                </c:pt>
                <c:pt idx="448">
                  <c:v>360</c:v>
                </c:pt>
                <c:pt idx="449">
                  <c:v>360</c:v>
                </c:pt>
                <c:pt idx="450">
                  <c:v>360</c:v>
                </c:pt>
                <c:pt idx="451">
                  <c:v>360</c:v>
                </c:pt>
                <c:pt idx="452">
                  <c:v>360</c:v>
                </c:pt>
                <c:pt idx="453">
                  <c:v>360</c:v>
                </c:pt>
                <c:pt idx="454">
                  <c:v>360</c:v>
                </c:pt>
                <c:pt idx="455">
                  <c:v>360</c:v>
                </c:pt>
                <c:pt idx="456">
                  <c:v>375</c:v>
                </c:pt>
                <c:pt idx="457">
                  <c:v>375</c:v>
                </c:pt>
                <c:pt idx="458">
                  <c:v>375</c:v>
                </c:pt>
                <c:pt idx="459">
                  <c:v>375</c:v>
                </c:pt>
                <c:pt idx="460">
                  <c:v>375</c:v>
                </c:pt>
                <c:pt idx="461">
                  <c:v>375</c:v>
                </c:pt>
                <c:pt idx="462">
                  <c:v>375</c:v>
                </c:pt>
                <c:pt idx="463">
                  <c:v>375</c:v>
                </c:pt>
                <c:pt idx="464">
                  <c:v>375</c:v>
                </c:pt>
                <c:pt idx="465">
                  <c:v>375</c:v>
                </c:pt>
                <c:pt idx="466">
                  <c:v>375</c:v>
                </c:pt>
                <c:pt idx="467">
                  <c:v>375</c:v>
                </c:pt>
                <c:pt idx="468">
                  <c:v>375</c:v>
                </c:pt>
                <c:pt idx="469">
                  <c:v>375</c:v>
                </c:pt>
                <c:pt idx="470">
                  <c:v>375</c:v>
                </c:pt>
                <c:pt idx="471">
                  <c:v>375</c:v>
                </c:pt>
                <c:pt idx="472">
                  <c:v>375</c:v>
                </c:pt>
                <c:pt idx="473">
                  <c:v>375</c:v>
                </c:pt>
                <c:pt idx="474">
                  <c:v>375</c:v>
                </c:pt>
                <c:pt idx="475">
                  <c:v>375</c:v>
                </c:pt>
                <c:pt idx="476">
                  <c:v>375</c:v>
                </c:pt>
                <c:pt idx="477">
                  <c:v>375</c:v>
                </c:pt>
                <c:pt idx="478">
                  <c:v>375</c:v>
                </c:pt>
                <c:pt idx="479">
                  <c:v>375</c:v>
                </c:pt>
                <c:pt idx="480">
                  <c:v>390</c:v>
                </c:pt>
                <c:pt idx="481">
                  <c:v>390</c:v>
                </c:pt>
                <c:pt idx="482">
                  <c:v>390</c:v>
                </c:pt>
                <c:pt idx="483">
                  <c:v>390</c:v>
                </c:pt>
                <c:pt idx="484">
                  <c:v>390</c:v>
                </c:pt>
                <c:pt idx="485">
                  <c:v>390</c:v>
                </c:pt>
                <c:pt idx="486">
                  <c:v>390</c:v>
                </c:pt>
                <c:pt idx="487">
                  <c:v>390</c:v>
                </c:pt>
                <c:pt idx="488">
                  <c:v>390</c:v>
                </c:pt>
                <c:pt idx="489">
                  <c:v>390</c:v>
                </c:pt>
                <c:pt idx="490">
                  <c:v>390</c:v>
                </c:pt>
                <c:pt idx="491">
                  <c:v>390</c:v>
                </c:pt>
                <c:pt idx="492">
                  <c:v>390</c:v>
                </c:pt>
                <c:pt idx="493">
                  <c:v>390</c:v>
                </c:pt>
                <c:pt idx="494">
                  <c:v>390</c:v>
                </c:pt>
                <c:pt idx="495">
                  <c:v>390</c:v>
                </c:pt>
                <c:pt idx="496">
                  <c:v>390</c:v>
                </c:pt>
                <c:pt idx="497">
                  <c:v>390</c:v>
                </c:pt>
                <c:pt idx="498">
                  <c:v>390</c:v>
                </c:pt>
                <c:pt idx="499">
                  <c:v>390</c:v>
                </c:pt>
                <c:pt idx="500">
                  <c:v>390</c:v>
                </c:pt>
                <c:pt idx="501">
                  <c:v>390</c:v>
                </c:pt>
                <c:pt idx="502">
                  <c:v>390</c:v>
                </c:pt>
                <c:pt idx="503">
                  <c:v>390</c:v>
                </c:pt>
              </c:numCache>
            </c:numRef>
          </c:xVal>
          <c:yVal>
            <c:numRef>
              <c:f>CSR_VBM!$M$2:$M$505</c:f>
              <c:numCache>
                <c:formatCode>0.00</c:formatCode>
                <c:ptCount val="504"/>
                <c:pt idx="0">
                  <c:v>-160974.53261724368</c:v>
                </c:pt>
                <c:pt idx="1">
                  <c:v>-146340.48419749425</c:v>
                </c:pt>
                <c:pt idx="2">
                  <c:v>-134145.44384770305</c:v>
                </c:pt>
                <c:pt idx="3">
                  <c:v>-123826.56355172591</c:v>
                </c:pt>
                <c:pt idx="4">
                  <c:v>-114981.80901231692</c:v>
                </c:pt>
                <c:pt idx="5">
                  <c:v>-107316.35507816245</c:v>
                </c:pt>
                <c:pt idx="6">
                  <c:v>-173357.18897241625</c:v>
                </c:pt>
                <c:pt idx="7">
                  <c:v>-157597.44452037843</c:v>
                </c:pt>
                <c:pt idx="8">
                  <c:v>-144464.32414368022</c:v>
                </c:pt>
                <c:pt idx="9">
                  <c:v>-133351.68382493558</c:v>
                </c:pt>
                <c:pt idx="10">
                  <c:v>-123826.56355172589</c:v>
                </c:pt>
                <c:pt idx="11">
                  <c:v>-115571.45931494416</c:v>
                </c:pt>
                <c:pt idx="12">
                  <c:v>-185739.84532758885</c:v>
                </c:pt>
                <c:pt idx="13">
                  <c:v>-168854.4048432626</c:v>
                </c:pt>
                <c:pt idx="14">
                  <c:v>-154783.20443965736</c:v>
                </c:pt>
                <c:pt idx="15">
                  <c:v>-142876.80409814528</c:v>
                </c:pt>
                <c:pt idx="16">
                  <c:v>-132671.31809113489</c:v>
                </c:pt>
                <c:pt idx="17">
                  <c:v>-123826.56355172589</c:v>
                </c:pt>
                <c:pt idx="18">
                  <c:v>-198122.50168276147</c:v>
                </c:pt>
                <c:pt idx="19">
                  <c:v>-180111.3651661468</c:v>
                </c:pt>
                <c:pt idx="20">
                  <c:v>-165102.08473563456</c:v>
                </c:pt>
                <c:pt idx="21">
                  <c:v>-152401.92437135498</c:v>
                </c:pt>
                <c:pt idx="22">
                  <c:v>-141516.07263054393</c:v>
                </c:pt>
                <c:pt idx="23">
                  <c:v>-132081.66778850765</c:v>
                </c:pt>
                <c:pt idx="24">
                  <c:v>-266240.82613773446</c:v>
                </c:pt>
                <c:pt idx="25">
                  <c:v>-242037.11467066768</c:v>
                </c:pt>
                <c:pt idx="26">
                  <c:v>-221867.35511477874</c:v>
                </c:pt>
                <c:pt idx="27">
                  <c:v>-204800.63549056495</c:v>
                </c:pt>
                <c:pt idx="28">
                  <c:v>-190172.01866981032</c:v>
                </c:pt>
                <c:pt idx="29">
                  <c:v>-177493.88409182298</c:v>
                </c:pt>
                <c:pt idx="30">
                  <c:v>-286720.88968679094</c:v>
                </c:pt>
                <c:pt idx="31">
                  <c:v>-260655.35426071903</c:v>
                </c:pt>
                <c:pt idx="32">
                  <c:v>-238934.07473899244</c:v>
                </c:pt>
                <c:pt idx="33">
                  <c:v>-220554.5305283007</c:v>
                </c:pt>
                <c:pt idx="34">
                  <c:v>-204800.63549056495</c:v>
                </c:pt>
                <c:pt idx="35">
                  <c:v>-191147.25979119397</c:v>
                </c:pt>
                <c:pt idx="36">
                  <c:v>-307200.95323584741</c:v>
                </c:pt>
                <c:pt idx="37">
                  <c:v>-279273.59385077038</c:v>
                </c:pt>
                <c:pt idx="38">
                  <c:v>-256000.79436320617</c:v>
                </c:pt>
                <c:pt idx="39">
                  <c:v>-236308.42556603646</c:v>
                </c:pt>
                <c:pt idx="40">
                  <c:v>-219429.25231131958</c:v>
                </c:pt>
                <c:pt idx="41">
                  <c:v>-204800.63549056495</c:v>
                </c:pt>
                <c:pt idx="42">
                  <c:v>-327681.016784904</c:v>
                </c:pt>
                <c:pt idx="43">
                  <c:v>-297891.83344082185</c:v>
                </c:pt>
                <c:pt idx="44">
                  <c:v>-273067.51398742001</c:v>
                </c:pt>
                <c:pt idx="45">
                  <c:v>-252062.3206037723</c:v>
                </c:pt>
                <c:pt idx="46">
                  <c:v>-234057.86913207432</c:v>
                </c:pt>
                <c:pt idx="47">
                  <c:v>-218454.01118993602</c:v>
                </c:pt>
                <c:pt idx="48">
                  <c:v>-412673.62417926342</c:v>
                </c:pt>
                <c:pt idx="49">
                  <c:v>-375157.84016296675</c:v>
                </c:pt>
                <c:pt idx="50">
                  <c:v>-343894.68681605288</c:v>
                </c:pt>
                <c:pt idx="51">
                  <c:v>-317441.24936866417</c:v>
                </c:pt>
                <c:pt idx="52">
                  <c:v>-294766.87441375962</c:v>
                </c:pt>
                <c:pt idx="53">
                  <c:v>-275115.74945284228</c:v>
                </c:pt>
                <c:pt idx="54">
                  <c:v>-444417.74911612988</c:v>
                </c:pt>
                <c:pt idx="55">
                  <c:v>-404016.13556011807</c:v>
                </c:pt>
                <c:pt idx="56">
                  <c:v>-370348.1242634416</c:v>
                </c:pt>
                <c:pt idx="57">
                  <c:v>-341859.80701240757</c:v>
                </c:pt>
                <c:pt idx="58">
                  <c:v>-317441.24936866417</c:v>
                </c:pt>
                <c:pt idx="59">
                  <c:v>-296278.49941075325</c:v>
                </c:pt>
                <c:pt idx="60">
                  <c:v>-476161.87405299628</c:v>
                </c:pt>
                <c:pt idx="61">
                  <c:v>-432874.43095726933</c:v>
                </c:pt>
                <c:pt idx="62">
                  <c:v>-396801.56171083031</c:v>
                </c:pt>
                <c:pt idx="63">
                  <c:v>-366278.36465615104</c:v>
                </c:pt>
                <c:pt idx="64">
                  <c:v>-340115.62432356877</c:v>
                </c:pt>
                <c:pt idx="65">
                  <c:v>-317441.24936866423</c:v>
                </c:pt>
                <c:pt idx="66">
                  <c:v>-507905.9989898628</c:v>
                </c:pt>
                <c:pt idx="67">
                  <c:v>-461732.72635442071</c:v>
                </c:pt>
                <c:pt idx="68">
                  <c:v>-423254.99915821897</c:v>
                </c:pt>
                <c:pt idx="69">
                  <c:v>-390696.92229989445</c:v>
                </c:pt>
                <c:pt idx="70">
                  <c:v>-362789.99927847343</c:v>
                </c:pt>
                <c:pt idx="71">
                  <c:v>-338603.9993265752</c:v>
                </c:pt>
                <c:pt idx="72">
                  <c:v>-608406.78380051767</c:v>
                </c:pt>
                <c:pt idx="73">
                  <c:v>-553097.07618228882</c:v>
                </c:pt>
                <c:pt idx="74">
                  <c:v>-507005.65316709806</c:v>
                </c:pt>
                <c:pt idx="75">
                  <c:v>-468005.21830809052</c:v>
                </c:pt>
                <c:pt idx="76">
                  <c:v>-434576.27414322691</c:v>
                </c:pt>
                <c:pt idx="77">
                  <c:v>-405604.52253367845</c:v>
                </c:pt>
                <c:pt idx="78">
                  <c:v>-655207.30563132674</c:v>
                </c:pt>
                <c:pt idx="79">
                  <c:v>-595643.00511938788</c:v>
                </c:pt>
                <c:pt idx="80">
                  <c:v>-546006.08802610554</c:v>
                </c:pt>
                <c:pt idx="81">
                  <c:v>-504005.61971640517</c:v>
                </c:pt>
                <c:pt idx="82">
                  <c:v>-468005.21830809047</c:v>
                </c:pt>
                <c:pt idx="83">
                  <c:v>-436804.87042088452</c:v>
                </c:pt>
                <c:pt idx="84">
                  <c:v>-702007.8274621357</c:v>
                </c:pt>
                <c:pt idx="85">
                  <c:v>-638188.93405648693</c:v>
                </c:pt>
                <c:pt idx="86">
                  <c:v>-585006.52288511302</c:v>
                </c:pt>
                <c:pt idx="87">
                  <c:v>-540006.02112471976</c:v>
                </c:pt>
                <c:pt idx="88">
                  <c:v>-501434.16247295402</c:v>
                </c:pt>
                <c:pt idx="89">
                  <c:v>-468005.21830809047</c:v>
                </c:pt>
                <c:pt idx="90">
                  <c:v>-748808.34929294488</c:v>
                </c:pt>
                <c:pt idx="91">
                  <c:v>-680734.86299358634</c:v>
                </c:pt>
                <c:pt idx="92">
                  <c:v>-624006.95774412074</c:v>
                </c:pt>
                <c:pt idx="93">
                  <c:v>-576006.42253303458</c:v>
                </c:pt>
                <c:pt idx="94">
                  <c:v>-534863.10663781781</c:v>
                </c:pt>
                <c:pt idx="95">
                  <c:v>-499205.56619529659</c:v>
                </c:pt>
                <c:pt idx="96">
                  <c:v>-861880.21284599626</c:v>
                </c:pt>
                <c:pt idx="97">
                  <c:v>-783527.46622363303</c:v>
                </c:pt>
                <c:pt idx="98">
                  <c:v>-718233.51070499688</c:v>
                </c:pt>
                <c:pt idx="99">
                  <c:v>-662984.77911230491</c:v>
                </c:pt>
                <c:pt idx="100">
                  <c:v>-615628.72346142586</c:v>
                </c:pt>
                <c:pt idx="101">
                  <c:v>-574586.8085639975</c:v>
                </c:pt>
                <c:pt idx="102">
                  <c:v>-928178.69075722701</c:v>
                </c:pt>
                <c:pt idx="103">
                  <c:v>-843798.80977929733</c:v>
                </c:pt>
                <c:pt idx="104">
                  <c:v>-773482.2422976892</c:v>
                </c:pt>
                <c:pt idx="105">
                  <c:v>-713983.60827478999</c:v>
                </c:pt>
                <c:pt idx="106">
                  <c:v>-662984.77911230491</c:v>
                </c:pt>
                <c:pt idx="107">
                  <c:v>-618785.79383815126</c:v>
                </c:pt>
                <c:pt idx="108">
                  <c:v>-994477.16866845696</c:v>
                </c:pt>
                <c:pt idx="109">
                  <c:v>-904070.15333496092</c:v>
                </c:pt>
                <c:pt idx="110">
                  <c:v>-828730.97389038093</c:v>
                </c:pt>
                <c:pt idx="111">
                  <c:v>-764982.43743727461</c:v>
                </c:pt>
                <c:pt idx="112">
                  <c:v>-710340.83476318361</c:v>
                </c:pt>
                <c:pt idx="113">
                  <c:v>-662984.77911230468</c:v>
                </c:pt>
                <c:pt idx="114">
                  <c:v>-1060775.6465796882</c:v>
                </c:pt>
                <c:pt idx="115">
                  <c:v>-964341.49689062545</c:v>
                </c:pt>
                <c:pt idx="116">
                  <c:v>-883979.70548307325</c:v>
                </c:pt>
                <c:pt idx="117">
                  <c:v>-815981.26659975993</c:v>
                </c:pt>
                <c:pt idx="118">
                  <c:v>-757696.89041406277</c:v>
                </c:pt>
                <c:pt idx="119">
                  <c:v>-707183.76438645867</c:v>
                </c:pt>
                <c:pt idx="120">
                  <c:v>-1181728.3599048734</c:v>
                </c:pt>
                <c:pt idx="121">
                  <c:v>-1074298.5090044304</c:v>
                </c:pt>
                <c:pt idx="122">
                  <c:v>-984773.6332540611</c:v>
                </c:pt>
                <c:pt idx="123">
                  <c:v>-909021.81531144108</c:v>
                </c:pt>
                <c:pt idx="124">
                  <c:v>-844091.68564633827</c:v>
                </c:pt>
                <c:pt idx="125">
                  <c:v>-787818.90660324891</c:v>
                </c:pt>
                <c:pt idx="126">
                  <c:v>-1272630.5414360177</c:v>
                </c:pt>
                <c:pt idx="127">
                  <c:v>-1156936.8558509252</c:v>
                </c:pt>
                <c:pt idx="128">
                  <c:v>-1060525.4511966815</c:v>
                </c:pt>
                <c:pt idx="129">
                  <c:v>-978946.5703353982</c:v>
                </c:pt>
                <c:pt idx="130">
                  <c:v>-909021.8153114412</c:v>
                </c:pt>
                <c:pt idx="131">
                  <c:v>-848420.36095734523</c:v>
                </c:pt>
                <c:pt idx="132">
                  <c:v>-1363532.7229671618</c:v>
                </c:pt>
                <c:pt idx="133">
                  <c:v>-1239575.2026974198</c:v>
                </c:pt>
                <c:pt idx="134">
                  <c:v>-1136277.2691393015</c:v>
                </c:pt>
                <c:pt idx="135">
                  <c:v>-1048871.3253593552</c:v>
                </c:pt>
                <c:pt idx="136">
                  <c:v>-973951.94497654424</c:v>
                </c:pt>
                <c:pt idx="137">
                  <c:v>-909021.8153114412</c:v>
                </c:pt>
                <c:pt idx="138">
                  <c:v>-1454434.9044983061</c:v>
                </c:pt>
                <c:pt idx="139">
                  <c:v>-1322213.5495439149</c:v>
                </c:pt>
                <c:pt idx="140">
                  <c:v>-1212029.087081922</c:v>
                </c:pt>
                <c:pt idx="141">
                  <c:v>-1118796.0803833124</c:v>
                </c:pt>
                <c:pt idx="142">
                  <c:v>-1038882.0746416473</c:v>
                </c:pt>
                <c:pt idx="143">
                  <c:v>-969623.26966553752</c:v>
                </c:pt>
                <c:pt idx="144">
                  <c:v>-1576651.852662564</c:v>
                </c:pt>
                <c:pt idx="145">
                  <c:v>-1433319.8660568765</c:v>
                </c:pt>
                <c:pt idx="146">
                  <c:v>-1313876.5438854701</c:v>
                </c:pt>
                <c:pt idx="147">
                  <c:v>-1212809.1174327417</c:v>
                </c:pt>
                <c:pt idx="148">
                  <c:v>-1126179.8947589744</c:v>
                </c:pt>
                <c:pt idx="149">
                  <c:v>-1051101.235108376</c:v>
                </c:pt>
                <c:pt idx="150">
                  <c:v>-1697932.7644058387</c:v>
                </c:pt>
                <c:pt idx="151">
                  <c:v>-1543575.2403689439</c:v>
                </c:pt>
                <c:pt idx="152">
                  <c:v>-1414943.9703381986</c:v>
                </c:pt>
                <c:pt idx="153">
                  <c:v>-1306102.1264660296</c:v>
                </c:pt>
                <c:pt idx="154">
                  <c:v>-1212809.1174327417</c:v>
                </c:pt>
                <c:pt idx="155">
                  <c:v>-1131955.176270559</c:v>
                </c:pt>
                <c:pt idx="156">
                  <c:v>-1819213.6761491124</c:v>
                </c:pt>
                <c:pt idx="157">
                  <c:v>-1653830.6146810113</c:v>
                </c:pt>
                <c:pt idx="158">
                  <c:v>-1516011.396790927</c:v>
                </c:pt>
                <c:pt idx="159">
                  <c:v>-1399395.1354993172</c:v>
                </c:pt>
                <c:pt idx="160">
                  <c:v>-1299438.3401065089</c:v>
                </c:pt>
                <c:pt idx="161">
                  <c:v>-1212809.1174327417</c:v>
                </c:pt>
                <c:pt idx="162">
                  <c:v>-1940494.5878923868</c:v>
                </c:pt>
                <c:pt idx="163">
                  <c:v>-1764085.9889930789</c:v>
                </c:pt>
                <c:pt idx="164">
                  <c:v>-1617078.8232436557</c:v>
                </c:pt>
                <c:pt idx="165">
                  <c:v>-1492688.1445326053</c:v>
                </c:pt>
                <c:pt idx="166">
                  <c:v>-1386067.5627802764</c:v>
                </c:pt>
                <c:pt idx="167">
                  <c:v>-1293663.0585949246</c:v>
                </c:pt>
                <c:pt idx="168">
                  <c:v>-2055265.867085112</c:v>
                </c:pt>
                <c:pt idx="169">
                  <c:v>-1868423.5155319199</c:v>
                </c:pt>
                <c:pt idx="170">
                  <c:v>-1712721.5559042599</c:v>
                </c:pt>
                <c:pt idx="171">
                  <c:v>-1580973.7439116247</c:v>
                </c:pt>
                <c:pt idx="172">
                  <c:v>-1468047.0479179372</c:v>
                </c:pt>
                <c:pt idx="173">
                  <c:v>-1370177.244723408</c:v>
                </c:pt>
                <c:pt idx="174">
                  <c:v>-2213363.2414762746</c:v>
                </c:pt>
                <c:pt idx="175">
                  <c:v>-2012148.4013420679</c:v>
                </c:pt>
                <c:pt idx="176">
                  <c:v>-1844469.3678968956</c:v>
                </c:pt>
                <c:pt idx="177">
                  <c:v>-1702587.1088279036</c:v>
                </c:pt>
                <c:pt idx="178">
                  <c:v>-1580973.7439116249</c:v>
                </c:pt>
                <c:pt idx="179">
                  <c:v>-1475575.4943175165</c:v>
                </c:pt>
                <c:pt idx="180">
                  <c:v>-2371460.6158674369</c:v>
                </c:pt>
                <c:pt idx="181">
                  <c:v>-2155873.2871522154</c:v>
                </c:pt>
                <c:pt idx="182">
                  <c:v>-1976217.1798895304</c:v>
                </c:pt>
                <c:pt idx="183">
                  <c:v>-1824200.4737441819</c:v>
                </c:pt>
                <c:pt idx="184">
                  <c:v>-1693900.4399053119</c:v>
                </c:pt>
                <c:pt idx="185">
                  <c:v>-1580973.7439116244</c:v>
                </c:pt>
                <c:pt idx="186">
                  <c:v>-2529557.9902586001</c:v>
                </c:pt>
                <c:pt idx="187">
                  <c:v>-2299598.1729623638</c:v>
                </c:pt>
                <c:pt idx="188">
                  <c:v>-2107964.9918821668</c:v>
                </c:pt>
                <c:pt idx="189">
                  <c:v>-1945813.8386604616</c:v>
                </c:pt>
                <c:pt idx="190">
                  <c:v>-1806827.1358990001</c:v>
                </c:pt>
                <c:pt idx="191">
                  <c:v>-1686371.9935057333</c:v>
                </c:pt>
                <c:pt idx="192">
                  <c:v>-2625914.8155797655</c:v>
                </c:pt>
                <c:pt idx="193">
                  <c:v>-2387195.2868906953</c:v>
                </c:pt>
                <c:pt idx="194">
                  <c:v>-2188262.3463164712</c:v>
                </c:pt>
                <c:pt idx="195">
                  <c:v>-2019934.4735228964</c:v>
                </c:pt>
                <c:pt idx="196">
                  <c:v>-1875653.4396998324</c:v>
                </c:pt>
                <c:pt idx="197">
                  <c:v>-1750609.8770531768</c:v>
                </c:pt>
                <c:pt idx="198">
                  <c:v>-2827908.2629320538</c:v>
                </c:pt>
                <c:pt idx="199">
                  <c:v>-2570825.6935745943</c:v>
                </c:pt>
                <c:pt idx="200">
                  <c:v>-2356590.2191100451</c:v>
                </c:pt>
                <c:pt idx="201">
                  <c:v>-2175314.0484092725</c:v>
                </c:pt>
                <c:pt idx="202">
                  <c:v>-2019934.4735228957</c:v>
                </c:pt>
                <c:pt idx="203">
                  <c:v>-1885272.1752880358</c:v>
                </c:pt>
                <c:pt idx="204">
                  <c:v>-3029901.7102843435</c:v>
                </c:pt>
                <c:pt idx="205">
                  <c:v>-2754456.1002584938</c:v>
                </c:pt>
                <c:pt idx="206">
                  <c:v>-2524918.0919036195</c:v>
                </c:pt>
                <c:pt idx="207">
                  <c:v>-2330693.623295649</c:v>
                </c:pt>
                <c:pt idx="208">
                  <c:v>-2164215.5073459595</c:v>
                </c:pt>
                <c:pt idx="209">
                  <c:v>-2019934.4735228957</c:v>
                </c:pt>
                <c:pt idx="210">
                  <c:v>-3231895.1576366336</c:v>
                </c:pt>
                <c:pt idx="211">
                  <c:v>-2938086.5069423942</c:v>
                </c:pt>
                <c:pt idx="212">
                  <c:v>-2693245.9646971948</c:v>
                </c:pt>
                <c:pt idx="213">
                  <c:v>-2486073.1981820259</c:v>
                </c:pt>
                <c:pt idx="214">
                  <c:v>-2308496.5411690241</c:v>
                </c:pt>
                <c:pt idx="215">
                  <c:v>-2154596.7717577564</c:v>
                </c:pt>
                <c:pt idx="216">
                  <c:v>-3296435.2576796487</c:v>
                </c:pt>
                <c:pt idx="217">
                  <c:v>-2996759.3251633169</c:v>
                </c:pt>
                <c:pt idx="218">
                  <c:v>-2747029.3813997074</c:v>
                </c:pt>
                <c:pt idx="219">
                  <c:v>-2535719.4289843449</c:v>
                </c:pt>
                <c:pt idx="220">
                  <c:v>-2354596.6126283207</c:v>
                </c:pt>
                <c:pt idx="221">
                  <c:v>-2197623.5051197656</c:v>
                </c:pt>
                <c:pt idx="222">
                  <c:v>-3550007.2005780828</c:v>
                </c:pt>
                <c:pt idx="223">
                  <c:v>-3227279.2732528024</c:v>
                </c:pt>
                <c:pt idx="224">
                  <c:v>-2958339.3338150689</c:v>
                </c:pt>
                <c:pt idx="225">
                  <c:v>-2730774.7696754481</c:v>
                </c:pt>
                <c:pt idx="226">
                  <c:v>-2535719.4289843454</c:v>
                </c:pt>
                <c:pt idx="227">
                  <c:v>-2366671.4670520551</c:v>
                </c:pt>
                <c:pt idx="228">
                  <c:v>-3803579.1434765169</c:v>
                </c:pt>
                <c:pt idx="229">
                  <c:v>-3457799.221342288</c:v>
                </c:pt>
                <c:pt idx="230">
                  <c:v>-3169649.2862304309</c:v>
                </c:pt>
                <c:pt idx="231">
                  <c:v>-2925830.1103665517</c:v>
                </c:pt>
                <c:pt idx="232">
                  <c:v>-2716842.2453403696</c:v>
                </c:pt>
                <c:pt idx="233">
                  <c:v>-2535719.4289843449</c:v>
                </c:pt>
                <c:pt idx="234">
                  <c:v>-4057151.0863749529</c:v>
                </c:pt>
                <c:pt idx="235">
                  <c:v>-3688319.1694317749</c:v>
                </c:pt>
                <c:pt idx="236">
                  <c:v>-3380959.2386457939</c:v>
                </c:pt>
                <c:pt idx="237">
                  <c:v>-3120885.4510576557</c:v>
                </c:pt>
                <c:pt idx="238">
                  <c:v>-2897965.0616963953</c:v>
                </c:pt>
                <c:pt idx="239">
                  <c:v>-2704767.3909166353</c:v>
                </c:pt>
                <c:pt idx="240">
                  <c:v>-4073832.6276981072</c:v>
                </c:pt>
                <c:pt idx="241">
                  <c:v>-3703484.2069982789</c:v>
                </c:pt>
                <c:pt idx="242">
                  <c:v>-3394860.5230817562</c:v>
                </c:pt>
                <c:pt idx="243">
                  <c:v>-3133717.4059216208</c:v>
                </c:pt>
                <c:pt idx="244">
                  <c:v>-2909880.4483557907</c:v>
                </c:pt>
                <c:pt idx="245">
                  <c:v>-2715888.4184654048</c:v>
                </c:pt>
                <c:pt idx="246">
                  <c:v>-4387204.3682902697</c:v>
                </c:pt>
                <c:pt idx="247">
                  <c:v>-3988367.6075366084</c:v>
                </c:pt>
                <c:pt idx="248">
                  <c:v>-3656003.6402418911</c:v>
                </c:pt>
                <c:pt idx="249">
                  <c:v>-3374772.5909925145</c:v>
                </c:pt>
                <c:pt idx="250">
                  <c:v>-3133717.4059216212</c:v>
                </c:pt>
                <c:pt idx="251">
                  <c:v>-2924802.912193513</c:v>
                </c:pt>
                <c:pt idx="252">
                  <c:v>-4700576.1088824309</c:v>
                </c:pt>
                <c:pt idx="253">
                  <c:v>-4273251.0080749374</c:v>
                </c:pt>
                <c:pt idx="254">
                  <c:v>-3917146.7574020261</c:v>
                </c:pt>
                <c:pt idx="255">
                  <c:v>-3615827.7760634082</c:v>
                </c:pt>
                <c:pt idx="256">
                  <c:v>-3357554.3634874509</c:v>
                </c:pt>
                <c:pt idx="257">
                  <c:v>-3133717.4059216208</c:v>
                </c:pt>
                <c:pt idx="258">
                  <c:v>-5013947.8494745949</c:v>
                </c:pt>
                <c:pt idx="259">
                  <c:v>-4558134.4086132683</c:v>
                </c:pt>
                <c:pt idx="260">
                  <c:v>-4178289.8745621624</c:v>
                </c:pt>
                <c:pt idx="261">
                  <c:v>-3856882.9611343034</c:v>
                </c:pt>
                <c:pt idx="262">
                  <c:v>-3581391.3210532819</c:v>
                </c:pt>
                <c:pt idx="263">
                  <c:v>-3342631.89964973</c:v>
                </c:pt>
                <c:pt idx="264">
                  <c:v>-4963797.83897088</c:v>
                </c:pt>
                <c:pt idx="265">
                  <c:v>-4512543.4899735274</c:v>
                </c:pt>
                <c:pt idx="266">
                  <c:v>-4136498.1991424002</c:v>
                </c:pt>
                <c:pt idx="267">
                  <c:v>-3818306.0299776001</c:v>
                </c:pt>
                <c:pt idx="268">
                  <c:v>-3545569.8849792005</c:v>
                </c:pt>
                <c:pt idx="269">
                  <c:v>-3309198.5593139199</c:v>
                </c:pt>
                <c:pt idx="270">
                  <c:v>-5345628.4419686394</c:v>
                </c:pt>
                <c:pt idx="271">
                  <c:v>-4859662.219971491</c:v>
                </c:pt>
                <c:pt idx="272">
                  <c:v>-4454690.3683071993</c:v>
                </c:pt>
                <c:pt idx="273">
                  <c:v>-4112021.8784374157</c:v>
                </c:pt>
                <c:pt idx="274">
                  <c:v>-3818306.0299775996</c:v>
                </c:pt>
                <c:pt idx="275">
                  <c:v>-3563752.2946457602</c:v>
                </c:pt>
                <c:pt idx="276">
                  <c:v>-5727459.0449663978</c:v>
                </c:pt>
                <c:pt idx="277">
                  <c:v>-5206780.9499694528</c:v>
                </c:pt>
                <c:pt idx="278">
                  <c:v>-4772882.5374719976</c:v>
                </c:pt>
                <c:pt idx="279">
                  <c:v>-4405737.7268972294</c:v>
                </c:pt>
                <c:pt idx="280">
                  <c:v>-4091042.1749759987</c:v>
                </c:pt>
                <c:pt idx="281">
                  <c:v>-3818306.0299775982</c:v>
                </c:pt>
                <c:pt idx="282">
                  <c:v>-6109289.6479641609</c:v>
                </c:pt>
                <c:pt idx="283">
                  <c:v>-5553899.6799674192</c:v>
                </c:pt>
                <c:pt idx="284">
                  <c:v>-5091074.7066368004</c:v>
                </c:pt>
                <c:pt idx="285">
                  <c:v>-4699453.5753570469</c:v>
                </c:pt>
                <c:pt idx="286">
                  <c:v>-4363778.319974401</c:v>
                </c:pt>
                <c:pt idx="287">
                  <c:v>-4072859.7653094404</c:v>
                </c:pt>
                <c:pt idx="288">
                  <c:v>-5969873.5039670188</c:v>
                </c:pt>
                <c:pt idx="289">
                  <c:v>-5427157.7308791084</c:v>
                </c:pt>
                <c:pt idx="290">
                  <c:v>-4974894.5866391817</c:v>
                </c:pt>
                <c:pt idx="291">
                  <c:v>-4592210.387666937</c:v>
                </c:pt>
                <c:pt idx="292">
                  <c:v>-4264195.3599764416</c:v>
                </c:pt>
                <c:pt idx="293">
                  <c:v>-3979915.669311346</c:v>
                </c:pt>
                <c:pt idx="294">
                  <c:v>-6429094.5427337112</c:v>
                </c:pt>
                <c:pt idx="295">
                  <c:v>-5844631.4024851928</c:v>
                </c:pt>
                <c:pt idx="296">
                  <c:v>-5357578.7856114265</c:v>
                </c:pt>
                <c:pt idx="297">
                  <c:v>-4945457.3405643934</c:v>
                </c:pt>
                <c:pt idx="298">
                  <c:v>-4592210.387666937</c:v>
                </c:pt>
                <c:pt idx="299">
                  <c:v>-4286063.0284891408</c:v>
                </c:pt>
                <c:pt idx="300">
                  <c:v>-6888315.5815004036</c:v>
                </c:pt>
                <c:pt idx="301">
                  <c:v>-6262105.0740912762</c:v>
                </c:pt>
                <c:pt idx="302">
                  <c:v>-5740262.9845836693</c:v>
                </c:pt>
                <c:pt idx="303">
                  <c:v>-5298704.293461849</c:v>
                </c:pt>
                <c:pt idx="304">
                  <c:v>-4920225.4153574314</c:v>
                </c:pt>
                <c:pt idx="305">
                  <c:v>-4592210.387666936</c:v>
                </c:pt>
                <c:pt idx="306">
                  <c:v>-7347536.6202671006</c:v>
                </c:pt>
                <c:pt idx="307">
                  <c:v>-6679578.7456973642</c:v>
                </c:pt>
                <c:pt idx="308">
                  <c:v>-6122947.1835559169</c:v>
                </c:pt>
                <c:pt idx="309">
                  <c:v>-5651951.2463593073</c:v>
                </c:pt>
                <c:pt idx="310">
                  <c:v>-5248240.4430479286</c:v>
                </c:pt>
                <c:pt idx="311">
                  <c:v>-4898357.7468447331</c:v>
                </c:pt>
                <c:pt idx="312">
                  <c:v>-7091606.4109737957</c:v>
                </c:pt>
                <c:pt idx="313">
                  <c:v>-6446914.9190670867</c:v>
                </c:pt>
                <c:pt idx="314">
                  <c:v>-5909672.0091448287</c:v>
                </c:pt>
                <c:pt idx="315">
                  <c:v>-5455081.8545952262</c:v>
                </c:pt>
                <c:pt idx="316">
                  <c:v>-5065433.150695567</c:v>
                </c:pt>
                <c:pt idx="317">
                  <c:v>-4727737.6073158635</c:v>
                </c:pt>
                <c:pt idx="318">
                  <c:v>-7637114.5964333173</c:v>
                </c:pt>
                <c:pt idx="319">
                  <c:v>-6942831.4513030164</c:v>
                </c:pt>
                <c:pt idx="320">
                  <c:v>-6364262.1636944311</c:v>
                </c:pt>
                <c:pt idx="321">
                  <c:v>-5874703.5357179372</c:v>
                </c:pt>
                <c:pt idx="322">
                  <c:v>-5455081.8545952272</c:v>
                </c:pt>
                <c:pt idx="323">
                  <c:v>-5091409.7309555449</c:v>
                </c:pt>
                <c:pt idx="324">
                  <c:v>-8182622.7818928361</c:v>
                </c:pt>
                <c:pt idx="325">
                  <c:v>-7438747.9835389424</c:v>
                </c:pt>
                <c:pt idx="326">
                  <c:v>-6818852.3182440316</c:v>
                </c:pt>
                <c:pt idx="327">
                  <c:v>-6294325.2168406434</c:v>
                </c:pt>
                <c:pt idx="328">
                  <c:v>-5844730.5584948845</c:v>
                </c:pt>
                <c:pt idx="329">
                  <c:v>-5455081.8545952253</c:v>
                </c:pt>
                <c:pt idx="330">
                  <c:v>-8728130.9673523623</c:v>
                </c:pt>
                <c:pt idx="331">
                  <c:v>-7934664.5157748749</c:v>
                </c:pt>
                <c:pt idx="332">
                  <c:v>-7273442.472793635</c:v>
                </c:pt>
                <c:pt idx="333">
                  <c:v>-6713946.8979633553</c:v>
                </c:pt>
                <c:pt idx="334">
                  <c:v>-6234379.2623945447</c:v>
                </c:pt>
                <c:pt idx="335">
                  <c:v>-5818753.9782349085</c:v>
                </c:pt>
                <c:pt idx="336">
                  <c:v>-8316243</c:v>
                </c:pt>
                <c:pt idx="337">
                  <c:v>-7560220.9090909082</c:v>
                </c:pt>
                <c:pt idx="338">
                  <c:v>-6930202.5</c:v>
                </c:pt>
                <c:pt idx="339">
                  <c:v>-6397110</c:v>
                </c:pt>
                <c:pt idx="340">
                  <c:v>-5940173.5714285709</c:v>
                </c:pt>
                <c:pt idx="341">
                  <c:v>-5544162</c:v>
                </c:pt>
                <c:pt idx="342">
                  <c:v>-8955954</c:v>
                </c:pt>
                <c:pt idx="343">
                  <c:v>-8141776.3636363633</c:v>
                </c:pt>
                <c:pt idx="344">
                  <c:v>-7463294.9999999991</c:v>
                </c:pt>
                <c:pt idx="345">
                  <c:v>-6889195.384615384</c:v>
                </c:pt>
                <c:pt idx="346">
                  <c:v>-6397109.9999999991</c:v>
                </c:pt>
                <c:pt idx="347">
                  <c:v>-5970636</c:v>
                </c:pt>
                <c:pt idx="348">
                  <c:v>-9595664.9999999981</c:v>
                </c:pt>
                <c:pt idx="349">
                  <c:v>-8723331.8181818165</c:v>
                </c:pt>
                <c:pt idx="350">
                  <c:v>-7996387.4999999972</c:v>
                </c:pt>
                <c:pt idx="351">
                  <c:v>-7381280.7692307672</c:v>
                </c:pt>
                <c:pt idx="352">
                  <c:v>-6854046.4285714254</c:v>
                </c:pt>
                <c:pt idx="353">
                  <c:v>-6397109.9999999991</c:v>
                </c:pt>
                <c:pt idx="354">
                  <c:v>-10235376.000000002</c:v>
                </c:pt>
                <c:pt idx="355">
                  <c:v>-9304887.2727272753</c:v>
                </c:pt>
                <c:pt idx="356">
                  <c:v>-8529480.0000000019</c:v>
                </c:pt>
                <c:pt idx="357">
                  <c:v>-7873366.1538461549</c:v>
                </c:pt>
                <c:pt idx="358">
                  <c:v>-7310982.8571428582</c:v>
                </c:pt>
                <c:pt idx="359">
                  <c:v>-6823584.0000000009</c:v>
                </c:pt>
                <c:pt idx="360">
                  <c:v>-9627090.802875001</c:v>
                </c:pt>
                <c:pt idx="361">
                  <c:v>-8751900.7298863642</c:v>
                </c:pt>
                <c:pt idx="362">
                  <c:v>-8022575.6690624999</c:v>
                </c:pt>
                <c:pt idx="363">
                  <c:v>-7405454.4637500001</c:v>
                </c:pt>
                <c:pt idx="364">
                  <c:v>-6876493.430625</c:v>
                </c:pt>
                <c:pt idx="365">
                  <c:v>-6418060.5352499997</c:v>
                </c:pt>
                <c:pt idx="366">
                  <c:v>-10367636.249249998</c:v>
                </c:pt>
                <c:pt idx="367">
                  <c:v>-9425123.8629545439</c:v>
                </c:pt>
                <c:pt idx="368">
                  <c:v>-8639696.8743749987</c:v>
                </c:pt>
                <c:pt idx="369">
                  <c:v>-7975104.8071153834</c:v>
                </c:pt>
                <c:pt idx="370">
                  <c:v>-7405454.4637499992</c:v>
                </c:pt>
                <c:pt idx="371">
                  <c:v>-6911757.4994999999</c:v>
                </c:pt>
                <c:pt idx="372">
                  <c:v>-11108181.695625</c:v>
                </c:pt>
                <c:pt idx="373">
                  <c:v>-10098346.996022725</c:v>
                </c:pt>
                <c:pt idx="374">
                  <c:v>-9256818.0796874985</c:v>
                </c:pt>
                <c:pt idx="375">
                  <c:v>-8544755.1504807677</c:v>
                </c:pt>
                <c:pt idx="376">
                  <c:v>-7934415.4968749993</c:v>
                </c:pt>
                <c:pt idx="377">
                  <c:v>-7405454.4637499992</c:v>
                </c:pt>
                <c:pt idx="378">
                  <c:v>-11848727.142000001</c:v>
                </c:pt>
                <c:pt idx="379">
                  <c:v>-10771570.129090911</c:v>
                </c:pt>
                <c:pt idx="380">
                  <c:v>-9873939.2850000001</c:v>
                </c:pt>
                <c:pt idx="381">
                  <c:v>-9114405.4938461538</c:v>
                </c:pt>
                <c:pt idx="382">
                  <c:v>-8463376.5300000012</c:v>
                </c:pt>
                <c:pt idx="383">
                  <c:v>-7899151.4280000003</c:v>
                </c:pt>
                <c:pt idx="384">
                  <c:v>-11068919.433000002</c:v>
                </c:pt>
                <c:pt idx="385">
                  <c:v>-10062654.030000001</c:v>
                </c:pt>
                <c:pt idx="386">
                  <c:v>-9224099.5275000017</c:v>
                </c:pt>
                <c:pt idx="387">
                  <c:v>-8514553.4100000001</c:v>
                </c:pt>
                <c:pt idx="388">
                  <c:v>-7906371.0235714298</c:v>
                </c:pt>
                <c:pt idx="389">
                  <c:v>-7379279.6220000004</c:v>
                </c:pt>
                <c:pt idx="390">
                  <c:v>-11920374.774</c:v>
                </c:pt>
                <c:pt idx="391">
                  <c:v>-10836704.34</c:v>
                </c:pt>
                <c:pt idx="392">
                  <c:v>-9933645.6449999996</c:v>
                </c:pt>
                <c:pt idx="393">
                  <c:v>-9169519.0569230765</c:v>
                </c:pt>
                <c:pt idx="394">
                  <c:v>-8514553.4100000001</c:v>
                </c:pt>
                <c:pt idx="395">
                  <c:v>-7946916.5159999998</c:v>
                </c:pt>
                <c:pt idx="396">
                  <c:v>-12771830.114999996</c:v>
                </c:pt>
                <c:pt idx="397">
                  <c:v>-11610754.649999999</c:v>
                </c:pt>
                <c:pt idx="398">
                  <c:v>-10643191.762499997</c:v>
                </c:pt>
                <c:pt idx="399">
                  <c:v>-9824484.703846151</c:v>
                </c:pt>
                <c:pt idx="400">
                  <c:v>-9122735.7964285687</c:v>
                </c:pt>
                <c:pt idx="401">
                  <c:v>-8514553.4099999983</c:v>
                </c:pt>
                <c:pt idx="402">
                  <c:v>-13623285.456000002</c:v>
                </c:pt>
                <c:pt idx="403">
                  <c:v>-12384804.960000001</c:v>
                </c:pt>
                <c:pt idx="404">
                  <c:v>-11352737.880000001</c:v>
                </c:pt>
                <c:pt idx="405">
                  <c:v>-10479450.350769231</c:v>
                </c:pt>
                <c:pt idx="406">
                  <c:v>-9730918.1828571446</c:v>
                </c:pt>
                <c:pt idx="407">
                  <c:v>-9082190.3040000014</c:v>
                </c:pt>
                <c:pt idx="408">
                  <c:v>-12647966.072624998</c:v>
                </c:pt>
                <c:pt idx="409">
                  <c:v>-11498150.975113636</c:v>
                </c:pt>
                <c:pt idx="410">
                  <c:v>-10539971.727187501</c:v>
                </c:pt>
                <c:pt idx="411">
                  <c:v>-9729204.6712500006</c:v>
                </c:pt>
                <c:pt idx="412">
                  <c:v>-9034261.4804464281</c:v>
                </c:pt>
                <c:pt idx="413">
                  <c:v>-8431977.3817500006</c:v>
                </c:pt>
                <c:pt idx="414">
                  <c:v>-13620886.53975</c:v>
                </c:pt>
                <c:pt idx="415">
                  <c:v>-12382624.127045454</c:v>
                </c:pt>
                <c:pt idx="416">
                  <c:v>-11350738.783125</c:v>
                </c:pt>
                <c:pt idx="417">
                  <c:v>-10477605.030576922</c:v>
                </c:pt>
                <c:pt idx="418">
                  <c:v>-9729204.6712499987</c:v>
                </c:pt>
                <c:pt idx="419">
                  <c:v>-9080591.0264999997</c:v>
                </c:pt>
                <c:pt idx="420">
                  <c:v>-14593807.006874997</c:v>
                </c:pt>
                <c:pt idx="421">
                  <c:v>-13267097.278977269</c:v>
                </c:pt>
                <c:pt idx="422">
                  <c:v>-12161505.839062497</c:v>
                </c:pt>
                <c:pt idx="423">
                  <c:v>-11226005.389903843</c:v>
                </c:pt>
                <c:pt idx="424">
                  <c:v>-10424147.862053569</c:v>
                </c:pt>
                <c:pt idx="425">
                  <c:v>-9729204.6712499987</c:v>
                </c:pt>
                <c:pt idx="426">
                  <c:v>-15566727.474000003</c:v>
                </c:pt>
                <c:pt idx="427">
                  <c:v>-14151570.430909092</c:v>
                </c:pt>
                <c:pt idx="428">
                  <c:v>-12972272.895000003</c:v>
                </c:pt>
                <c:pt idx="429">
                  <c:v>-11974405.749230772</c:v>
                </c:pt>
                <c:pt idx="430">
                  <c:v>-11119091.052857144</c:v>
                </c:pt>
                <c:pt idx="431">
                  <c:v>-10377818.316000002</c:v>
                </c:pt>
                <c:pt idx="432">
                  <c:v>-14347457.430462264</c:v>
                </c:pt>
                <c:pt idx="433">
                  <c:v>-13043143.118602058</c:v>
                </c:pt>
                <c:pt idx="434">
                  <c:v>-11956214.52538522</c:v>
                </c:pt>
                <c:pt idx="435">
                  <c:v>-11036505.715740204</c:v>
                </c:pt>
                <c:pt idx="436">
                  <c:v>-10248183.878901618</c:v>
                </c:pt>
                <c:pt idx="437">
                  <c:v>-9564971.6203081757</c:v>
                </c:pt>
                <c:pt idx="438">
                  <c:v>-15451108.002036281</c:v>
                </c:pt>
                <c:pt idx="439">
                  <c:v>-14046461.820032982</c:v>
                </c:pt>
                <c:pt idx="440">
                  <c:v>-12875923.335030235</c:v>
                </c:pt>
                <c:pt idx="441">
                  <c:v>-11885467.693874063</c:v>
                </c:pt>
                <c:pt idx="442">
                  <c:v>-11036505.715740202</c:v>
                </c:pt>
                <c:pt idx="443">
                  <c:v>-10300738.668024188</c:v>
                </c:pt>
                <c:pt idx="444">
                  <c:v>-16554758.5736103</c:v>
                </c:pt>
                <c:pt idx="445">
                  <c:v>-15049780.52146391</c:v>
                </c:pt>
                <c:pt idx="446">
                  <c:v>-13795632.144675249</c:v>
                </c:pt>
                <c:pt idx="447">
                  <c:v>-12734429.672007926</c:v>
                </c:pt>
                <c:pt idx="448">
                  <c:v>-11824827.552578786</c:v>
                </c:pt>
                <c:pt idx="449">
                  <c:v>-11036505.715740202</c:v>
                </c:pt>
                <c:pt idx="450">
                  <c:v>-17658409.145184331</c:v>
                </c:pt>
                <c:pt idx="451">
                  <c:v>-16053099.222894844</c:v>
                </c:pt>
                <c:pt idx="452">
                  <c:v>-14715340.954320274</c:v>
                </c:pt>
                <c:pt idx="453">
                  <c:v>-13583391.650141791</c:v>
                </c:pt>
                <c:pt idx="454">
                  <c:v>-12613149.389417378</c:v>
                </c:pt>
                <c:pt idx="455">
                  <c:v>-11772272.76345622</c:v>
                </c:pt>
                <c:pt idx="456">
                  <c:v>-16139855.302572912</c:v>
                </c:pt>
                <c:pt idx="457">
                  <c:v>-14672595.72961174</c:v>
                </c:pt>
                <c:pt idx="458">
                  <c:v>-13449879.418810761</c:v>
                </c:pt>
                <c:pt idx="459">
                  <c:v>-12415273.309671471</c:v>
                </c:pt>
                <c:pt idx="460">
                  <c:v>-11528468.073266366</c:v>
                </c:pt>
                <c:pt idx="461">
                  <c:v>-10759903.535048608</c:v>
                </c:pt>
                <c:pt idx="462">
                  <c:v>-17381382.633540057</c:v>
                </c:pt>
                <c:pt idx="463">
                  <c:v>-15801256.939581871</c:v>
                </c:pt>
                <c:pt idx="464">
                  <c:v>-14484485.527950047</c:v>
                </c:pt>
                <c:pt idx="465">
                  <c:v>-13370294.333492352</c:v>
                </c:pt>
                <c:pt idx="466">
                  <c:v>-12415273.309671469</c:v>
                </c:pt>
                <c:pt idx="467">
                  <c:v>-11587588.422360038</c:v>
                </c:pt>
                <c:pt idx="468">
                  <c:v>-18622909.964507204</c:v>
                </c:pt>
                <c:pt idx="469">
                  <c:v>-16929918.149552006</c:v>
                </c:pt>
                <c:pt idx="470">
                  <c:v>-15519091.637089336</c:v>
                </c:pt>
                <c:pt idx="471">
                  <c:v>-14325315.357313234</c:v>
                </c:pt>
                <c:pt idx="472">
                  <c:v>-13302078.546076573</c:v>
                </c:pt>
                <c:pt idx="473">
                  <c:v>-12415273.309671469</c:v>
                </c:pt>
                <c:pt idx="474">
                  <c:v>-19864437.295474358</c:v>
                </c:pt>
                <c:pt idx="475">
                  <c:v>-18058579.359522145</c:v>
                </c:pt>
                <c:pt idx="476">
                  <c:v>-16553697.746228633</c:v>
                </c:pt>
                <c:pt idx="477">
                  <c:v>-15280336.381134124</c:v>
                </c:pt>
                <c:pt idx="478">
                  <c:v>-14188883.782481685</c:v>
                </c:pt>
                <c:pt idx="479">
                  <c:v>-13242958.196982905</c:v>
                </c:pt>
                <c:pt idx="480">
                  <c:v>-18036739.526729595</c:v>
                </c:pt>
                <c:pt idx="481">
                  <c:v>-16397035.933390541</c:v>
                </c:pt>
                <c:pt idx="482">
                  <c:v>-15030616.272274664</c:v>
                </c:pt>
                <c:pt idx="483">
                  <c:v>-13874415.020561228</c:v>
                </c:pt>
                <c:pt idx="484">
                  <c:v>-12883385.376235427</c:v>
                </c:pt>
                <c:pt idx="485">
                  <c:v>-12024493.017819731</c:v>
                </c:pt>
                <c:pt idx="486">
                  <c:v>-19424181.028785713</c:v>
                </c:pt>
                <c:pt idx="487">
                  <c:v>-17658346.389805194</c:v>
                </c:pt>
                <c:pt idx="488">
                  <c:v>-16186817.523988096</c:v>
                </c:pt>
                <c:pt idx="489">
                  <c:v>-14941677.714450551</c:v>
                </c:pt>
                <c:pt idx="490">
                  <c:v>-13874415.020561226</c:v>
                </c:pt>
                <c:pt idx="491">
                  <c:v>-12949454.019190475</c:v>
                </c:pt>
                <c:pt idx="492">
                  <c:v>-20811622.530841842</c:v>
                </c:pt>
                <c:pt idx="493">
                  <c:v>-18919656.846219853</c:v>
                </c:pt>
                <c:pt idx="494">
                  <c:v>-17343018.775701534</c:v>
                </c:pt>
                <c:pt idx="495">
                  <c:v>-16008940.408339877</c:v>
                </c:pt>
                <c:pt idx="496">
                  <c:v>-14865444.66488703</c:v>
                </c:pt>
                <c:pt idx="497">
                  <c:v>-13874415.020561228</c:v>
                </c:pt>
                <c:pt idx="498">
                  <c:v>-22199064.032897972</c:v>
                </c:pt>
                <c:pt idx="499">
                  <c:v>-20180967.302634519</c:v>
                </c:pt>
                <c:pt idx="500">
                  <c:v>-18499220.027414974</c:v>
                </c:pt>
                <c:pt idx="501">
                  <c:v>-17076203.102229208</c:v>
                </c:pt>
                <c:pt idx="502">
                  <c:v>-15856474.309212837</c:v>
                </c:pt>
                <c:pt idx="503">
                  <c:v>-14799376.021931982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128272"/>
        <c:axId val="1640134800"/>
      </c:scatterChart>
      <c:valAx>
        <c:axId val="164012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134800"/>
        <c:crosses val="autoZero"/>
        <c:crossBetween val="midCat"/>
      </c:valAx>
      <c:valAx>
        <c:axId val="164013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128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CSR_VBM!$L$1</c:f>
              <c:strCache>
                <c:ptCount val="1"/>
                <c:pt idx="0">
                  <c:v>Mv-h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CSR_VBM!$B$2:$B$505</c:f>
              <c:numCache>
                <c:formatCode>0.00</c:formatCode>
                <c:ptCount val="504"/>
                <c:pt idx="0">
                  <c:v>18</c:v>
                </c:pt>
                <c:pt idx="1">
                  <c:v>16.363636363636363</c:v>
                </c:pt>
                <c:pt idx="2">
                  <c:v>15</c:v>
                </c:pt>
                <c:pt idx="3">
                  <c:v>13.846153846153847</c:v>
                </c:pt>
                <c:pt idx="4">
                  <c:v>12.857142857142858</c:v>
                </c:pt>
                <c:pt idx="5">
                  <c:v>12</c:v>
                </c:pt>
                <c:pt idx="6">
                  <c:v>18</c:v>
                </c:pt>
                <c:pt idx="7">
                  <c:v>16.363636363636363</c:v>
                </c:pt>
                <c:pt idx="8">
                  <c:v>15</c:v>
                </c:pt>
                <c:pt idx="9">
                  <c:v>13.846153846153847</c:v>
                </c:pt>
                <c:pt idx="10">
                  <c:v>12.857142857142858</c:v>
                </c:pt>
                <c:pt idx="11">
                  <c:v>12</c:v>
                </c:pt>
                <c:pt idx="12">
                  <c:v>18</c:v>
                </c:pt>
                <c:pt idx="13">
                  <c:v>16.363636363636363</c:v>
                </c:pt>
                <c:pt idx="14">
                  <c:v>15</c:v>
                </c:pt>
                <c:pt idx="15">
                  <c:v>13.846153846153847</c:v>
                </c:pt>
                <c:pt idx="16">
                  <c:v>12.857142857142858</c:v>
                </c:pt>
                <c:pt idx="17">
                  <c:v>12</c:v>
                </c:pt>
                <c:pt idx="18">
                  <c:v>18</c:v>
                </c:pt>
                <c:pt idx="19">
                  <c:v>16.363636363636363</c:v>
                </c:pt>
                <c:pt idx="20">
                  <c:v>15</c:v>
                </c:pt>
                <c:pt idx="21">
                  <c:v>13.846153846153847</c:v>
                </c:pt>
                <c:pt idx="22">
                  <c:v>12.857142857142858</c:v>
                </c:pt>
                <c:pt idx="23">
                  <c:v>12</c:v>
                </c:pt>
                <c:pt idx="24">
                  <c:v>21</c:v>
                </c:pt>
                <c:pt idx="25">
                  <c:v>19.09090909090909</c:v>
                </c:pt>
                <c:pt idx="26">
                  <c:v>17.5</c:v>
                </c:pt>
                <c:pt idx="27">
                  <c:v>16.153846153846153</c:v>
                </c:pt>
                <c:pt idx="28">
                  <c:v>15</c:v>
                </c:pt>
                <c:pt idx="29">
                  <c:v>14</c:v>
                </c:pt>
                <c:pt idx="30">
                  <c:v>21</c:v>
                </c:pt>
                <c:pt idx="31">
                  <c:v>19.09090909090909</c:v>
                </c:pt>
                <c:pt idx="32">
                  <c:v>17.5</c:v>
                </c:pt>
                <c:pt idx="33">
                  <c:v>16.153846153846153</c:v>
                </c:pt>
                <c:pt idx="34">
                  <c:v>15</c:v>
                </c:pt>
                <c:pt idx="35">
                  <c:v>14</c:v>
                </c:pt>
                <c:pt idx="36">
                  <c:v>21</c:v>
                </c:pt>
                <c:pt idx="37">
                  <c:v>19.09090909090909</c:v>
                </c:pt>
                <c:pt idx="38">
                  <c:v>17.5</c:v>
                </c:pt>
                <c:pt idx="39">
                  <c:v>16.153846153846153</c:v>
                </c:pt>
                <c:pt idx="40">
                  <c:v>15</c:v>
                </c:pt>
                <c:pt idx="41">
                  <c:v>14</c:v>
                </c:pt>
                <c:pt idx="42">
                  <c:v>21</c:v>
                </c:pt>
                <c:pt idx="43">
                  <c:v>19.09090909090909</c:v>
                </c:pt>
                <c:pt idx="44">
                  <c:v>17.5</c:v>
                </c:pt>
                <c:pt idx="45">
                  <c:v>16.153846153846153</c:v>
                </c:pt>
                <c:pt idx="46">
                  <c:v>15</c:v>
                </c:pt>
                <c:pt idx="47">
                  <c:v>14</c:v>
                </c:pt>
                <c:pt idx="48">
                  <c:v>24</c:v>
                </c:pt>
                <c:pt idx="49">
                  <c:v>21.818181818181817</c:v>
                </c:pt>
                <c:pt idx="50">
                  <c:v>20</c:v>
                </c:pt>
                <c:pt idx="51">
                  <c:v>18.46153846153846</c:v>
                </c:pt>
                <c:pt idx="52">
                  <c:v>17.142857142857142</c:v>
                </c:pt>
                <c:pt idx="53">
                  <c:v>16</c:v>
                </c:pt>
                <c:pt idx="54">
                  <c:v>24</c:v>
                </c:pt>
                <c:pt idx="55">
                  <c:v>21.818181818181817</c:v>
                </c:pt>
                <c:pt idx="56">
                  <c:v>20</c:v>
                </c:pt>
                <c:pt idx="57">
                  <c:v>18.46153846153846</c:v>
                </c:pt>
                <c:pt idx="58">
                  <c:v>17.142857142857142</c:v>
                </c:pt>
                <c:pt idx="59">
                  <c:v>16</c:v>
                </c:pt>
                <c:pt idx="60">
                  <c:v>24</c:v>
                </c:pt>
                <c:pt idx="61">
                  <c:v>21.818181818181817</c:v>
                </c:pt>
                <c:pt idx="62">
                  <c:v>20</c:v>
                </c:pt>
                <c:pt idx="63">
                  <c:v>18.46153846153846</c:v>
                </c:pt>
                <c:pt idx="64">
                  <c:v>17.142857142857142</c:v>
                </c:pt>
                <c:pt idx="65">
                  <c:v>16</c:v>
                </c:pt>
                <c:pt idx="66">
                  <c:v>24</c:v>
                </c:pt>
                <c:pt idx="67">
                  <c:v>21.818181818181817</c:v>
                </c:pt>
                <c:pt idx="68">
                  <c:v>20</c:v>
                </c:pt>
                <c:pt idx="69">
                  <c:v>18.46153846153846</c:v>
                </c:pt>
                <c:pt idx="70">
                  <c:v>17.142857142857142</c:v>
                </c:pt>
                <c:pt idx="71">
                  <c:v>16</c:v>
                </c:pt>
                <c:pt idx="72">
                  <c:v>27</c:v>
                </c:pt>
                <c:pt idx="73">
                  <c:v>24.545454545454547</c:v>
                </c:pt>
                <c:pt idx="74">
                  <c:v>22.5</c:v>
                </c:pt>
                <c:pt idx="75">
                  <c:v>20.76923076923077</c:v>
                </c:pt>
                <c:pt idx="76">
                  <c:v>19.285714285714285</c:v>
                </c:pt>
                <c:pt idx="77">
                  <c:v>18</c:v>
                </c:pt>
                <c:pt idx="78">
                  <c:v>27</c:v>
                </c:pt>
                <c:pt idx="79">
                  <c:v>24.545454545454547</c:v>
                </c:pt>
                <c:pt idx="80">
                  <c:v>22.5</c:v>
                </c:pt>
                <c:pt idx="81">
                  <c:v>20.76923076923077</c:v>
                </c:pt>
                <c:pt idx="82">
                  <c:v>19.285714285714285</c:v>
                </c:pt>
                <c:pt idx="83">
                  <c:v>18</c:v>
                </c:pt>
                <c:pt idx="84">
                  <c:v>27</c:v>
                </c:pt>
                <c:pt idx="85">
                  <c:v>24.545454545454547</c:v>
                </c:pt>
                <c:pt idx="86">
                  <c:v>22.5</c:v>
                </c:pt>
                <c:pt idx="87">
                  <c:v>20.76923076923077</c:v>
                </c:pt>
                <c:pt idx="88">
                  <c:v>19.285714285714285</c:v>
                </c:pt>
                <c:pt idx="89">
                  <c:v>18</c:v>
                </c:pt>
                <c:pt idx="90">
                  <c:v>27</c:v>
                </c:pt>
                <c:pt idx="91">
                  <c:v>24.545454545454547</c:v>
                </c:pt>
                <c:pt idx="92">
                  <c:v>22.5</c:v>
                </c:pt>
                <c:pt idx="93">
                  <c:v>20.76923076923077</c:v>
                </c:pt>
                <c:pt idx="94">
                  <c:v>19.285714285714285</c:v>
                </c:pt>
                <c:pt idx="95">
                  <c:v>18</c:v>
                </c:pt>
                <c:pt idx="96">
                  <c:v>30</c:v>
                </c:pt>
                <c:pt idx="97">
                  <c:v>27.272727272727273</c:v>
                </c:pt>
                <c:pt idx="98">
                  <c:v>25</c:v>
                </c:pt>
                <c:pt idx="99">
                  <c:v>23.076923076923077</c:v>
                </c:pt>
                <c:pt idx="100">
                  <c:v>21.428571428571427</c:v>
                </c:pt>
                <c:pt idx="101">
                  <c:v>20</c:v>
                </c:pt>
                <c:pt idx="102">
                  <c:v>30</c:v>
                </c:pt>
                <c:pt idx="103">
                  <c:v>27.272727272727273</c:v>
                </c:pt>
                <c:pt idx="104">
                  <c:v>25</c:v>
                </c:pt>
                <c:pt idx="105">
                  <c:v>23.076923076923077</c:v>
                </c:pt>
                <c:pt idx="106">
                  <c:v>21.428571428571427</c:v>
                </c:pt>
                <c:pt idx="107">
                  <c:v>20</c:v>
                </c:pt>
                <c:pt idx="108">
                  <c:v>30</c:v>
                </c:pt>
                <c:pt idx="109">
                  <c:v>27.272727272727273</c:v>
                </c:pt>
                <c:pt idx="110">
                  <c:v>25</c:v>
                </c:pt>
                <c:pt idx="111">
                  <c:v>23.076923076923077</c:v>
                </c:pt>
                <c:pt idx="112">
                  <c:v>21.428571428571427</c:v>
                </c:pt>
                <c:pt idx="113">
                  <c:v>20</c:v>
                </c:pt>
                <c:pt idx="114">
                  <c:v>30</c:v>
                </c:pt>
                <c:pt idx="115">
                  <c:v>27.272727272727273</c:v>
                </c:pt>
                <c:pt idx="116">
                  <c:v>25</c:v>
                </c:pt>
                <c:pt idx="117">
                  <c:v>23.076923076923077</c:v>
                </c:pt>
                <c:pt idx="118">
                  <c:v>21.428571428571427</c:v>
                </c:pt>
                <c:pt idx="119">
                  <c:v>20</c:v>
                </c:pt>
                <c:pt idx="120">
                  <c:v>33</c:v>
                </c:pt>
                <c:pt idx="121">
                  <c:v>30</c:v>
                </c:pt>
                <c:pt idx="122">
                  <c:v>27.5</c:v>
                </c:pt>
                <c:pt idx="123">
                  <c:v>25.384615384615383</c:v>
                </c:pt>
                <c:pt idx="124">
                  <c:v>23.571428571428573</c:v>
                </c:pt>
                <c:pt idx="125">
                  <c:v>22</c:v>
                </c:pt>
                <c:pt idx="126">
                  <c:v>33</c:v>
                </c:pt>
                <c:pt idx="127">
                  <c:v>30</c:v>
                </c:pt>
                <c:pt idx="128">
                  <c:v>27.5</c:v>
                </c:pt>
                <c:pt idx="129">
                  <c:v>25.384615384615383</c:v>
                </c:pt>
                <c:pt idx="130">
                  <c:v>23.571428571428573</c:v>
                </c:pt>
                <c:pt idx="131">
                  <c:v>22</c:v>
                </c:pt>
                <c:pt idx="132">
                  <c:v>33</c:v>
                </c:pt>
                <c:pt idx="133">
                  <c:v>30</c:v>
                </c:pt>
                <c:pt idx="134">
                  <c:v>27.5</c:v>
                </c:pt>
                <c:pt idx="135">
                  <c:v>25.384615384615383</c:v>
                </c:pt>
                <c:pt idx="136">
                  <c:v>23.571428571428573</c:v>
                </c:pt>
                <c:pt idx="137">
                  <c:v>22</c:v>
                </c:pt>
                <c:pt idx="138">
                  <c:v>33</c:v>
                </c:pt>
                <c:pt idx="139">
                  <c:v>30</c:v>
                </c:pt>
                <c:pt idx="140">
                  <c:v>27.5</c:v>
                </c:pt>
                <c:pt idx="141">
                  <c:v>25.384615384615383</c:v>
                </c:pt>
                <c:pt idx="142">
                  <c:v>23.571428571428573</c:v>
                </c:pt>
                <c:pt idx="143">
                  <c:v>22</c:v>
                </c:pt>
                <c:pt idx="144">
                  <c:v>36</c:v>
                </c:pt>
                <c:pt idx="145">
                  <c:v>32.727272727272727</c:v>
                </c:pt>
                <c:pt idx="146">
                  <c:v>30</c:v>
                </c:pt>
                <c:pt idx="147">
                  <c:v>27.692307692307693</c:v>
                </c:pt>
                <c:pt idx="148">
                  <c:v>25.714285714285715</c:v>
                </c:pt>
                <c:pt idx="149">
                  <c:v>24</c:v>
                </c:pt>
                <c:pt idx="150">
                  <c:v>36</c:v>
                </c:pt>
                <c:pt idx="151">
                  <c:v>32.727272727272727</c:v>
                </c:pt>
                <c:pt idx="152">
                  <c:v>30</c:v>
                </c:pt>
                <c:pt idx="153">
                  <c:v>27.692307692307693</c:v>
                </c:pt>
                <c:pt idx="154">
                  <c:v>25.714285714285715</c:v>
                </c:pt>
                <c:pt idx="155">
                  <c:v>24</c:v>
                </c:pt>
                <c:pt idx="156">
                  <c:v>36</c:v>
                </c:pt>
                <c:pt idx="157">
                  <c:v>32.727272727272727</c:v>
                </c:pt>
                <c:pt idx="158">
                  <c:v>30</c:v>
                </c:pt>
                <c:pt idx="159">
                  <c:v>27.692307692307693</c:v>
                </c:pt>
                <c:pt idx="160">
                  <c:v>25.714285714285715</c:v>
                </c:pt>
                <c:pt idx="161">
                  <c:v>24</c:v>
                </c:pt>
                <c:pt idx="162">
                  <c:v>36</c:v>
                </c:pt>
                <c:pt idx="163">
                  <c:v>32.727272727272727</c:v>
                </c:pt>
                <c:pt idx="164">
                  <c:v>30</c:v>
                </c:pt>
                <c:pt idx="165">
                  <c:v>27.692307692307693</c:v>
                </c:pt>
                <c:pt idx="166">
                  <c:v>25.714285714285715</c:v>
                </c:pt>
                <c:pt idx="167">
                  <c:v>24</c:v>
                </c:pt>
                <c:pt idx="168">
                  <c:v>39</c:v>
                </c:pt>
                <c:pt idx="169">
                  <c:v>35.454545454545453</c:v>
                </c:pt>
                <c:pt idx="170">
                  <c:v>32.5</c:v>
                </c:pt>
                <c:pt idx="171">
                  <c:v>30</c:v>
                </c:pt>
                <c:pt idx="172">
                  <c:v>27.857142857142858</c:v>
                </c:pt>
                <c:pt idx="173">
                  <c:v>26</c:v>
                </c:pt>
                <c:pt idx="174">
                  <c:v>39</c:v>
                </c:pt>
                <c:pt idx="175">
                  <c:v>35.454545454545453</c:v>
                </c:pt>
                <c:pt idx="176">
                  <c:v>32.5</c:v>
                </c:pt>
                <c:pt idx="177">
                  <c:v>30</c:v>
                </c:pt>
                <c:pt idx="178">
                  <c:v>27.857142857142858</c:v>
                </c:pt>
                <c:pt idx="179">
                  <c:v>26</c:v>
                </c:pt>
                <c:pt idx="180">
                  <c:v>39</c:v>
                </c:pt>
                <c:pt idx="181">
                  <c:v>35.454545454545453</c:v>
                </c:pt>
                <c:pt idx="182">
                  <c:v>32.5</c:v>
                </c:pt>
                <c:pt idx="183">
                  <c:v>30</c:v>
                </c:pt>
                <c:pt idx="184">
                  <c:v>27.857142857142858</c:v>
                </c:pt>
                <c:pt idx="185">
                  <c:v>26</c:v>
                </c:pt>
                <c:pt idx="186">
                  <c:v>39</c:v>
                </c:pt>
                <c:pt idx="187">
                  <c:v>35.454545454545453</c:v>
                </c:pt>
                <c:pt idx="188">
                  <c:v>32.5</c:v>
                </c:pt>
                <c:pt idx="189">
                  <c:v>30</c:v>
                </c:pt>
                <c:pt idx="190">
                  <c:v>27.857142857142858</c:v>
                </c:pt>
                <c:pt idx="191">
                  <c:v>26</c:v>
                </c:pt>
                <c:pt idx="192">
                  <c:v>42</c:v>
                </c:pt>
                <c:pt idx="193">
                  <c:v>38.18181818181818</c:v>
                </c:pt>
                <c:pt idx="194">
                  <c:v>35</c:v>
                </c:pt>
                <c:pt idx="195">
                  <c:v>32.307692307692307</c:v>
                </c:pt>
                <c:pt idx="196">
                  <c:v>30</c:v>
                </c:pt>
                <c:pt idx="197">
                  <c:v>28</c:v>
                </c:pt>
                <c:pt idx="198">
                  <c:v>42</c:v>
                </c:pt>
                <c:pt idx="199">
                  <c:v>38.18181818181818</c:v>
                </c:pt>
                <c:pt idx="200">
                  <c:v>35</c:v>
                </c:pt>
                <c:pt idx="201">
                  <c:v>32.307692307692307</c:v>
                </c:pt>
                <c:pt idx="202">
                  <c:v>30</c:v>
                </c:pt>
                <c:pt idx="203">
                  <c:v>28</c:v>
                </c:pt>
                <c:pt idx="204">
                  <c:v>42</c:v>
                </c:pt>
                <c:pt idx="205">
                  <c:v>38.18181818181818</c:v>
                </c:pt>
                <c:pt idx="206">
                  <c:v>35</c:v>
                </c:pt>
                <c:pt idx="207">
                  <c:v>32.307692307692307</c:v>
                </c:pt>
                <c:pt idx="208">
                  <c:v>30</c:v>
                </c:pt>
                <c:pt idx="209">
                  <c:v>28</c:v>
                </c:pt>
                <c:pt idx="210">
                  <c:v>42</c:v>
                </c:pt>
                <c:pt idx="211">
                  <c:v>38.18181818181818</c:v>
                </c:pt>
                <c:pt idx="212">
                  <c:v>35</c:v>
                </c:pt>
                <c:pt idx="213">
                  <c:v>32.307692307692307</c:v>
                </c:pt>
                <c:pt idx="214">
                  <c:v>30</c:v>
                </c:pt>
                <c:pt idx="215">
                  <c:v>28</c:v>
                </c:pt>
                <c:pt idx="216">
                  <c:v>45</c:v>
                </c:pt>
                <c:pt idx="217">
                  <c:v>40.909090909090907</c:v>
                </c:pt>
                <c:pt idx="218">
                  <c:v>37.5</c:v>
                </c:pt>
                <c:pt idx="219">
                  <c:v>34.615384615384613</c:v>
                </c:pt>
                <c:pt idx="220">
                  <c:v>32.142857142857146</c:v>
                </c:pt>
                <c:pt idx="221">
                  <c:v>30</c:v>
                </c:pt>
                <c:pt idx="222">
                  <c:v>45</c:v>
                </c:pt>
                <c:pt idx="223">
                  <c:v>40.909090909090907</c:v>
                </c:pt>
                <c:pt idx="224">
                  <c:v>37.5</c:v>
                </c:pt>
                <c:pt idx="225">
                  <c:v>34.615384615384613</c:v>
                </c:pt>
                <c:pt idx="226">
                  <c:v>32.142857142857146</c:v>
                </c:pt>
                <c:pt idx="227">
                  <c:v>30</c:v>
                </c:pt>
                <c:pt idx="228">
                  <c:v>45</c:v>
                </c:pt>
                <c:pt idx="229">
                  <c:v>40.909090909090907</c:v>
                </c:pt>
                <c:pt idx="230">
                  <c:v>37.5</c:v>
                </c:pt>
                <c:pt idx="231">
                  <c:v>34.615384615384613</c:v>
                </c:pt>
                <c:pt idx="232">
                  <c:v>32.142857142857146</c:v>
                </c:pt>
                <c:pt idx="233">
                  <c:v>30</c:v>
                </c:pt>
                <c:pt idx="234">
                  <c:v>45</c:v>
                </c:pt>
                <c:pt idx="235">
                  <c:v>40.909090909090907</c:v>
                </c:pt>
                <c:pt idx="236">
                  <c:v>37.5</c:v>
                </c:pt>
                <c:pt idx="237">
                  <c:v>34.615384615384613</c:v>
                </c:pt>
                <c:pt idx="238">
                  <c:v>32.142857142857146</c:v>
                </c:pt>
                <c:pt idx="239">
                  <c:v>30</c:v>
                </c:pt>
                <c:pt idx="240">
                  <c:v>48</c:v>
                </c:pt>
                <c:pt idx="241">
                  <c:v>43.636363636363633</c:v>
                </c:pt>
                <c:pt idx="242">
                  <c:v>40</c:v>
                </c:pt>
                <c:pt idx="243">
                  <c:v>36.92307692307692</c:v>
                </c:pt>
                <c:pt idx="244">
                  <c:v>34.285714285714285</c:v>
                </c:pt>
                <c:pt idx="245">
                  <c:v>32</c:v>
                </c:pt>
                <c:pt idx="246">
                  <c:v>48</c:v>
                </c:pt>
                <c:pt idx="247">
                  <c:v>43.636363636363633</c:v>
                </c:pt>
                <c:pt idx="248">
                  <c:v>40</c:v>
                </c:pt>
                <c:pt idx="249">
                  <c:v>36.92307692307692</c:v>
                </c:pt>
                <c:pt idx="250">
                  <c:v>34.285714285714285</c:v>
                </c:pt>
                <c:pt idx="251">
                  <c:v>32</c:v>
                </c:pt>
                <c:pt idx="252">
                  <c:v>48</c:v>
                </c:pt>
                <c:pt idx="253">
                  <c:v>43.636363636363633</c:v>
                </c:pt>
                <c:pt idx="254">
                  <c:v>40</c:v>
                </c:pt>
                <c:pt idx="255">
                  <c:v>36.92307692307692</c:v>
                </c:pt>
                <c:pt idx="256">
                  <c:v>34.285714285714285</c:v>
                </c:pt>
                <c:pt idx="257">
                  <c:v>32</c:v>
                </c:pt>
                <c:pt idx="258">
                  <c:v>48</c:v>
                </c:pt>
                <c:pt idx="259">
                  <c:v>43.636363636363633</c:v>
                </c:pt>
                <c:pt idx="260">
                  <c:v>40</c:v>
                </c:pt>
                <c:pt idx="261">
                  <c:v>36.92307692307692</c:v>
                </c:pt>
                <c:pt idx="262">
                  <c:v>34.285714285714285</c:v>
                </c:pt>
                <c:pt idx="263">
                  <c:v>32</c:v>
                </c:pt>
                <c:pt idx="264">
                  <c:v>51</c:v>
                </c:pt>
                <c:pt idx="265">
                  <c:v>46.363636363636367</c:v>
                </c:pt>
                <c:pt idx="266">
                  <c:v>42.5</c:v>
                </c:pt>
                <c:pt idx="267">
                  <c:v>39.230769230769234</c:v>
                </c:pt>
                <c:pt idx="268">
                  <c:v>36.428571428571431</c:v>
                </c:pt>
                <c:pt idx="269">
                  <c:v>34</c:v>
                </c:pt>
                <c:pt idx="270">
                  <c:v>51</c:v>
                </c:pt>
                <c:pt idx="271">
                  <c:v>46.363636363636367</c:v>
                </c:pt>
                <c:pt idx="272">
                  <c:v>42.5</c:v>
                </c:pt>
                <c:pt idx="273">
                  <c:v>39.230769230769234</c:v>
                </c:pt>
                <c:pt idx="274">
                  <c:v>36.428571428571431</c:v>
                </c:pt>
                <c:pt idx="275">
                  <c:v>34</c:v>
                </c:pt>
                <c:pt idx="276">
                  <c:v>51</c:v>
                </c:pt>
                <c:pt idx="277">
                  <c:v>46.363636363636367</c:v>
                </c:pt>
                <c:pt idx="278">
                  <c:v>42.5</c:v>
                </c:pt>
                <c:pt idx="279">
                  <c:v>39.230769230769234</c:v>
                </c:pt>
                <c:pt idx="280">
                  <c:v>36.428571428571431</c:v>
                </c:pt>
                <c:pt idx="281">
                  <c:v>34</c:v>
                </c:pt>
                <c:pt idx="282">
                  <c:v>51</c:v>
                </c:pt>
                <c:pt idx="283">
                  <c:v>46.363636363636367</c:v>
                </c:pt>
                <c:pt idx="284">
                  <c:v>42.5</c:v>
                </c:pt>
                <c:pt idx="285">
                  <c:v>39.230769230769234</c:v>
                </c:pt>
                <c:pt idx="286">
                  <c:v>36.428571428571431</c:v>
                </c:pt>
                <c:pt idx="287">
                  <c:v>34</c:v>
                </c:pt>
                <c:pt idx="288">
                  <c:v>54</c:v>
                </c:pt>
                <c:pt idx="289">
                  <c:v>49.090909090909093</c:v>
                </c:pt>
                <c:pt idx="290">
                  <c:v>45</c:v>
                </c:pt>
                <c:pt idx="291">
                  <c:v>41.53846153846154</c:v>
                </c:pt>
                <c:pt idx="292">
                  <c:v>38.571428571428569</c:v>
                </c:pt>
                <c:pt idx="293">
                  <c:v>36</c:v>
                </c:pt>
                <c:pt idx="294">
                  <c:v>54</c:v>
                </c:pt>
                <c:pt idx="295">
                  <c:v>49.090909090909093</c:v>
                </c:pt>
                <c:pt idx="296">
                  <c:v>45</c:v>
                </c:pt>
                <c:pt idx="297">
                  <c:v>41.53846153846154</c:v>
                </c:pt>
                <c:pt idx="298">
                  <c:v>38.571428571428569</c:v>
                </c:pt>
                <c:pt idx="299">
                  <c:v>36</c:v>
                </c:pt>
                <c:pt idx="300">
                  <c:v>54</c:v>
                </c:pt>
                <c:pt idx="301">
                  <c:v>49.090909090909093</c:v>
                </c:pt>
                <c:pt idx="302">
                  <c:v>45</c:v>
                </c:pt>
                <c:pt idx="303">
                  <c:v>41.53846153846154</c:v>
                </c:pt>
                <c:pt idx="304">
                  <c:v>38.571428571428569</c:v>
                </c:pt>
                <c:pt idx="305">
                  <c:v>36</c:v>
                </c:pt>
                <c:pt idx="306">
                  <c:v>54</c:v>
                </c:pt>
                <c:pt idx="307">
                  <c:v>49.090909090909093</c:v>
                </c:pt>
                <c:pt idx="308">
                  <c:v>45</c:v>
                </c:pt>
                <c:pt idx="309">
                  <c:v>41.53846153846154</c:v>
                </c:pt>
                <c:pt idx="310">
                  <c:v>38.571428571428569</c:v>
                </c:pt>
                <c:pt idx="311">
                  <c:v>36</c:v>
                </c:pt>
                <c:pt idx="312">
                  <c:v>57</c:v>
                </c:pt>
                <c:pt idx="313">
                  <c:v>51.81818181818182</c:v>
                </c:pt>
                <c:pt idx="314">
                  <c:v>47.5</c:v>
                </c:pt>
                <c:pt idx="315">
                  <c:v>43.846153846153847</c:v>
                </c:pt>
                <c:pt idx="316">
                  <c:v>40.714285714285715</c:v>
                </c:pt>
                <c:pt idx="317">
                  <c:v>38</c:v>
                </c:pt>
                <c:pt idx="318">
                  <c:v>57</c:v>
                </c:pt>
                <c:pt idx="319">
                  <c:v>51.81818181818182</c:v>
                </c:pt>
                <c:pt idx="320">
                  <c:v>47.5</c:v>
                </c:pt>
                <c:pt idx="321">
                  <c:v>43.846153846153847</c:v>
                </c:pt>
                <c:pt idx="322">
                  <c:v>40.714285714285715</c:v>
                </c:pt>
                <c:pt idx="323">
                  <c:v>38</c:v>
                </c:pt>
                <c:pt idx="324">
                  <c:v>57</c:v>
                </c:pt>
                <c:pt idx="325">
                  <c:v>51.81818181818182</c:v>
                </c:pt>
                <c:pt idx="326">
                  <c:v>47.5</c:v>
                </c:pt>
                <c:pt idx="327">
                  <c:v>43.846153846153847</c:v>
                </c:pt>
                <c:pt idx="328">
                  <c:v>40.714285714285715</c:v>
                </c:pt>
                <c:pt idx="329">
                  <c:v>38</c:v>
                </c:pt>
                <c:pt idx="330">
                  <c:v>57</c:v>
                </c:pt>
                <c:pt idx="331">
                  <c:v>51.81818181818182</c:v>
                </c:pt>
                <c:pt idx="332">
                  <c:v>47.5</c:v>
                </c:pt>
                <c:pt idx="333">
                  <c:v>43.846153846153847</c:v>
                </c:pt>
                <c:pt idx="334">
                  <c:v>40.714285714285715</c:v>
                </c:pt>
                <c:pt idx="335">
                  <c:v>38</c:v>
                </c:pt>
                <c:pt idx="336">
                  <c:v>60</c:v>
                </c:pt>
                <c:pt idx="337">
                  <c:v>54.545454545454547</c:v>
                </c:pt>
                <c:pt idx="338">
                  <c:v>50</c:v>
                </c:pt>
                <c:pt idx="339">
                  <c:v>46.153846153846153</c:v>
                </c:pt>
                <c:pt idx="340">
                  <c:v>42.857142857142854</c:v>
                </c:pt>
                <c:pt idx="341">
                  <c:v>40</c:v>
                </c:pt>
                <c:pt idx="342">
                  <c:v>60</c:v>
                </c:pt>
                <c:pt idx="343">
                  <c:v>54.545454545454547</c:v>
                </c:pt>
                <c:pt idx="344">
                  <c:v>50</c:v>
                </c:pt>
                <c:pt idx="345">
                  <c:v>46.153846153846153</c:v>
                </c:pt>
                <c:pt idx="346">
                  <c:v>42.857142857142854</c:v>
                </c:pt>
                <c:pt idx="347">
                  <c:v>40</c:v>
                </c:pt>
                <c:pt idx="348">
                  <c:v>60</c:v>
                </c:pt>
                <c:pt idx="349">
                  <c:v>54.545454545454547</c:v>
                </c:pt>
                <c:pt idx="350">
                  <c:v>50</c:v>
                </c:pt>
                <c:pt idx="351">
                  <c:v>46.153846153846153</c:v>
                </c:pt>
                <c:pt idx="352">
                  <c:v>42.857142857142854</c:v>
                </c:pt>
                <c:pt idx="353">
                  <c:v>40</c:v>
                </c:pt>
                <c:pt idx="354">
                  <c:v>60</c:v>
                </c:pt>
                <c:pt idx="355">
                  <c:v>54.545454545454547</c:v>
                </c:pt>
                <c:pt idx="356">
                  <c:v>50</c:v>
                </c:pt>
                <c:pt idx="357">
                  <c:v>46.153846153846153</c:v>
                </c:pt>
                <c:pt idx="358">
                  <c:v>42.857142857142854</c:v>
                </c:pt>
                <c:pt idx="359">
                  <c:v>40</c:v>
                </c:pt>
                <c:pt idx="360">
                  <c:v>63</c:v>
                </c:pt>
                <c:pt idx="361">
                  <c:v>57.272727272727273</c:v>
                </c:pt>
                <c:pt idx="362">
                  <c:v>52.5</c:v>
                </c:pt>
                <c:pt idx="363">
                  <c:v>48.46153846153846</c:v>
                </c:pt>
                <c:pt idx="364">
                  <c:v>45</c:v>
                </c:pt>
                <c:pt idx="365">
                  <c:v>42</c:v>
                </c:pt>
                <c:pt idx="366">
                  <c:v>63</c:v>
                </c:pt>
                <c:pt idx="367">
                  <c:v>57.272727272727273</c:v>
                </c:pt>
                <c:pt idx="368">
                  <c:v>52.5</c:v>
                </c:pt>
                <c:pt idx="369">
                  <c:v>48.46153846153846</c:v>
                </c:pt>
                <c:pt idx="370">
                  <c:v>45</c:v>
                </c:pt>
                <c:pt idx="371">
                  <c:v>42</c:v>
                </c:pt>
                <c:pt idx="372">
                  <c:v>63</c:v>
                </c:pt>
                <c:pt idx="373">
                  <c:v>57.272727272727273</c:v>
                </c:pt>
                <c:pt idx="374">
                  <c:v>52.5</c:v>
                </c:pt>
                <c:pt idx="375">
                  <c:v>48.46153846153846</c:v>
                </c:pt>
                <c:pt idx="376">
                  <c:v>45</c:v>
                </c:pt>
                <c:pt idx="377">
                  <c:v>42</c:v>
                </c:pt>
                <c:pt idx="378">
                  <c:v>63</c:v>
                </c:pt>
                <c:pt idx="379">
                  <c:v>57.272727272727273</c:v>
                </c:pt>
                <c:pt idx="380">
                  <c:v>52.5</c:v>
                </c:pt>
                <c:pt idx="381">
                  <c:v>48.46153846153846</c:v>
                </c:pt>
                <c:pt idx="382">
                  <c:v>45</c:v>
                </c:pt>
                <c:pt idx="383">
                  <c:v>42</c:v>
                </c:pt>
                <c:pt idx="384">
                  <c:v>66</c:v>
                </c:pt>
                <c:pt idx="385">
                  <c:v>60</c:v>
                </c:pt>
                <c:pt idx="386">
                  <c:v>55</c:v>
                </c:pt>
                <c:pt idx="387">
                  <c:v>50.769230769230766</c:v>
                </c:pt>
                <c:pt idx="388">
                  <c:v>47.142857142857146</c:v>
                </c:pt>
                <c:pt idx="389">
                  <c:v>44</c:v>
                </c:pt>
                <c:pt idx="390">
                  <c:v>66</c:v>
                </c:pt>
                <c:pt idx="391">
                  <c:v>60</c:v>
                </c:pt>
                <c:pt idx="392">
                  <c:v>55</c:v>
                </c:pt>
                <c:pt idx="393">
                  <c:v>50.769230769230766</c:v>
                </c:pt>
                <c:pt idx="394">
                  <c:v>47.142857142857146</c:v>
                </c:pt>
                <c:pt idx="395">
                  <c:v>44</c:v>
                </c:pt>
                <c:pt idx="396">
                  <c:v>66</c:v>
                </c:pt>
                <c:pt idx="397">
                  <c:v>60</c:v>
                </c:pt>
                <c:pt idx="398">
                  <c:v>55</c:v>
                </c:pt>
                <c:pt idx="399">
                  <c:v>50.769230769230766</c:v>
                </c:pt>
                <c:pt idx="400">
                  <c:v>47.142857142857146</c:v>
                </c:pt>
                <c:pt idx="401">
                  <c:v>44</c:v>
                </c:pt>
                <c:pt idx="402">
                  <c:v>66</c:v>
                </c:pt>
                <c:pt idx="403">
                  <c:v>60</c:v>
                </c:pt>
                <c:pt idx="404">
                  <c:v>55</c:v>
                </c:pt>
                <c:pt idx="405">
                  <c:v>50.769230769230766</c:v>
                </c:pt>
                <c:pt idx="406">
                  <c:v>47.142857142857146</c:v>
                </c:pt>
                <c:pt idx="407">
                  <c:v>44</c:v>
                </c:pt>
                <c:pt idx="408">
                  <c:v>69</c:v>
                </c:pt>
                <c:pt idx="409">
                  <c:v>62.727272727272727</c:v>
                </c:pt>
                <c:pt idx="410">
                  <c:v>57.5</c:v>
                </c:pt>
                <c:pt idx="411">
                  <c:v>53.07692307692308</c:v>
                </c:pt>
                <c:pt idx="412">
                  <c:v>49.285714285714285</c:v>
                </c:pt>
                <c:pt idx="413">
                  <c:v>46</c:v>
                </c:pt>
                <c:pt idx="414">
                  <c:v>69</c:v>
                </c:pt>
                <c:pt idx="415">
                  <c:v>62.727272727272727</c:v>
                </c:pt>
                <c:pt idx="416">
                  <c:v>57.5</c:v>
                </c:pt>
                <c:pt idx="417">
                  <c:v>53.07692307692308</c:v>
                </c:pt>
                <c:pt idx="418">
                  <c:v>49.285714285714285</c:v>
                </c:pt>
                <c:pt idx="419">
                  <c:v>46</c:v>
                </c:pt>
                <c:pt idx="420">
                  <c:v>69</c:v>
                </c:pt>
                <c:pt idx="421">
                  <c:v>62.727272727272727</c:v>
                </c:pt>
                <c:pt idx="422">
                  <c:v>57.5</c:v>
                </c:pt>
                <c:pt idx="423">
                  <c:v>53.07692307692308</c:v>
                </c:pt>
                <c:pt idx="424">
                  <c:v>49.285714285714285</c:v>
                </c:pt>
                <c:pt idx="425">
                  <c:v>46</c:v>
                </c:pt>
                <c:pt idx="426">
                  <c:v>69</c:v>
                </c:pt>
                <c:pt idx="427">
                  <c:v>62.727272727272727</c:v>
                </c:pt>
                <c:pt idx="428">
                  <c:v>57.5</c:v>
                </c:pt>
                <c:pt idx="429">
                  <c:v>53.07692307692308</c:v>
                </c:pt>
                <c:pt idx="430">
                  <c:v>49.285714285714285</c:v>
                </c:pt>
                <c:pt idx="431">
                  <c:v>46</c:v>
                </c:pt>
                <c:pt idx="432">
                  <c:v>72</c:v>
                </c:pt>
                <c:pt idx="433">
                  <c:v>65.454545454545453</c:v>
                </c:pt>
                <c:pt idx="434">
                  <c:v>60</c:v>
                </c:pt>
                <c:pt idx="435">
                  <c:v>55.384615384615387</c:v>
                </c:pt>
                <c:pt idx="436">
                  <c:v>51.428571428571431</c:v>
                </c:pt>
                <c:pt idx="437">
                  <c:v>48</c:v>
                </c:pt>
                <c:pt idx="438">
                  <c:v>72</c:v>
                </c:pt>
                <c:pt idx="439">
                  <c:v>65.454545454545453</c:v>
                </c:pt>
                <c:pt idx="440">
                  <c:v>60</c:v>
                </c:pt>
                <c:pt idx="441">
                  <c:v>55.384615384615387</c:v>
                </c:pt>
                <c:pt idx="442">
                  <c:v>51.428571428571431</c:v>
                </c:pt>
                <c:pt idx="443">
                  <c:v>48</c:v>
                </c:pt>
                <c:pt idx="444">
                  <c:v>72</c:v>
                </c:pt>
                <c:pt idx="445">
                  <c:v>65.454545454545453</c:v>
                </c:pt>
                <c:pt idx="446">
                  <c:v>60</c:v>
                </c:pt>
                <c:pt idx="447">
                  <c:v>55.384615384615387</c:v>
                </c:pt>
                <c:pt idx="448">
                  <c:v>51.428571428571431</c:v>
                </c:pt>
                <c:pt idx="449">
                  <c:v>48</c:v>
                </c:pt>
                <c:pt idx="450">
                  <c:v>72</c:v>
                </c:pt>
                <c:pt idx="451">
                  <c:v>65.454545454545453</c:v>
                </c:pt>
                <c:pt idx="452">
                  <c:v>60</c:v>
                </c:pt>
                <c:pt idx="453">
                  <c:v>55.384615384615387</c:v>
                </c:pt>
                <c:pt idx="454">
                  <c:v>51.428571428571431</c:v>
                </c:pt>
                <c:pt idx="455">
                  <c:v>48</c:v>
                </c:pt>
                <c:pt idx="456">
                  <c:v>75</c:v>
                </c:pt>
                <c:pt idx="457">
                  <c:v>68.181818181818187</c:v>
                </c:pt>
                <c:pt idx="458">
                  <c:v>62.5</c:v>
                </c:pt>
                <c:pt idx="459">
                  <c:v>57.692307692307693</c:v>
                </c:pt>
                <c:pt idx="460">
                  <c:v>53.571428571428569</c:v>
                </c:pt>
                <c:pt idx="461">
                  <c:v>50</c:v>
                </c:pt>
                <c:pt idx="462">
                  <c:v>75</c:v>
                </c:pt>
                <c:pt idx="463">
                  <c:v>68.181818181818187</c:v>
                </c:pt>
                <c:pt idx="464">
                  <c:v>62.5</c:v>
                </c:pt>
                <c:pt idx="465">
                  <c:v>57.692307692307693</c:v>
                </c:pt>
                <c:pt idx="466">
                  <c:v>53.571428571428569</c:v>
                </c:pt>
                <c:pt idx="467">
                  <c:v>50</c:v>
                </c:pt>
                <c:pt idx="468">
                  <c:v>75</c:v>
                </c:pt>
                <c:pt idx="469">
                  <c:v>68.181818181818187</c:v>
                </c:pt>
                <c:pt idx="470">
                  <c:v>62.5</c:v>
                </c:pt>
                <c:pt idx="471">
                  <c:v>57.692307692307693</c:v>
                </c:pt>
                <c:pt idx="472">
                  <c:v>53.571428571428569</c:v>
                </c:pt>
                <c:pt idx="473">
                  <c:v>50</c:v>
                </c:pt>
                <c:pt idx="474">
                  <c:v>75</c:v>
                </c:pt>
                <c:pt idx="475">
                  <c:v>68.181818181818187</c:v>
                </c:pt>
                <c:pt idx="476">
                  <c:v>62.5</c:v>
                </c:pt>
                <c:pt idx="477">
                  <c:v>57.692307692307693</c:v>
                </c:pt>
                <c:pt idx="478">
                  <c:v>53.571428571428569</c:v>
                </c:pt>
                <c:pt idx="479">
                  <c:v>50</c:v>
                </c:pt>
                <c:pt idx="480">
                  <c:v>78</c:v>
                </c:pt>
                <c:pt idx="481">
                  <c:v>70.909090909090907</c:v>
                </c:pt>
                <c:pt idx="482">
                  <c:v>65</c:v>
                </c:pt>
                <c:pt idx="483">
                  <c:v>60</c:v>
                </c:pt>
                <c:pt idx="484">
                  <c:v>55.714285714285715</c:v>
                </c:pt>
                <c:pt idx="485">
                  <c:v>52</c:v>
                </c:pt>
                <c:pt idx="486">
                  <c:v>78</c:v>
                </c:pt>
                <c:pt idx="487">
                  <c:v>70.909090909090907</c:v>
                </c:pt>
                <c:pt idx="488">
                  <c:v>65</c:v>
                </c:pt>
                <c:pt idx="489">
                  <c:v>60</c:v>
                </c:pt>
                <c:pt idx="490">
                  <c:v>55.714285714285715</c:v>
                </c:pt>
                <c:pt idx="491">
                  <c:v>52</c:v>
                </c:pt>
                <c:pt idx="492">
                  <c:v>78</c:v>
                </c:pt>
                <c:pt idx="493">
                  <c:v>70.909090909090907</c:v>
                </c:pt>
                <c:pt idx="494">
                  <c:v>65</c:v>
                </c:pt>
                <c:pt idx="495">
                  <c:v>60</c:v>
                </c:pt>
                <c:pt idx="496">
                  <c:v>55.714285714285715</c:v>
                </c:pt>
                <c:pt idx="497">
                  <c:v>52</c:v>
                </c:pt>
                <c:pt idx="498">
                  <c:v>78</c:v>
                </c:pt>
                <c:pt idx="499">
                  <c:v>70.909090909090907</c:v>
                </c:pt>
                <c:pt idx="500">
                  <c:v>65</c:v>
                </c:pt>
                <c:pt idx="501">
                  <c:v>60</c:v>
                </c:pt>
                <c:pt idx="502">
                  <c:v>55.714285714285715</c:v>
                </c:pt>
                <c:pt idx="503">
                  <c:v>52</c:v>
                </c:pt>
              </c:numCache>
            </c:numRef>
          </c:xVal>
          <c:yVal>
            <c:numRef>
              <c:f>CSR_VBM!$L$2:$L$505</c:f>
              <c:numCache>
                <c:formatCode>0.00</c:formatCode>
                <c:ptCount val="504"/>
                <c:pt idx="0">
                  <c:v>128096.44505350957</c:v>
                </c:pt>
                <c:pt idx="1">
                  <c:v>116451.31368500869</c:v>
                </c:pt>
                <c:pt idx="2">
                  <c:v>106747.03754459129</c:v>
                </c:pt>
                <c:pt idx="3">
                  <c:v>98535.726964238114</c:v>
                </c:pt>
                <c:pt idx="4">
                  <c:v>91497.460752506828</c:v>
                </c:pt>
                <c:pt idx="5">
                  <c:v>85397.63003567305</c:v>
                </c:pt>
                <c:pt idx="6">
                  <c:v>149445.85256242781</c:v>
                </c:pt>
                <c:pt idx="7">
                  <c:v>135859.86596584346</c:v>
                </c:pt>
                <c:pt idx="8">
                  <c:v>124538.21046868984</c:v>
                </c:pt>
                <c:pt idx="9">
                  <c:v>114958.34812494447</c:v>
                </c:pt>
                <c:pt idx="10">
                  <c:v>106747.03754459129</c:v>
                </c:pt>
                <c:pt idx="11">
                  <c:v>99630.568374951879</c:v>
                </c:pt>
                <c:pt idx="12">
                  <c:v>170795.2600713461</c:v>
                </c:pt>
                <c:pt idx="13">
                  <c:v>155268.41824667828</c:v>
                </c:pt>
                <c:pt idx="14">
                  <c:v>142329.38339278841</c:v>
                </c:pt>
                <c:pt idx="15">
                  <c:v>131380.96928565085</c:v>
                </c:pt>
                <c:pt idx="16">
                  <c:v>121996.61433667579</c:v>
                </c:pt>
                <c:pt idx="17">
                  <c:v>113863.50671423074</c:v>
                </c:pt>
                <c:pt idx="18">
                  <c:v>192144.66758026436</c:v>
                </c:pt>
                <c:pt idx="19">
                  <c:v>174676.97052751304</c:v>
                </c:pt>
                <c:pt idx="20">
                  <c:v>160120.55631688694</c:v>
                </c:pt>
                <c:pt idx="21">
                  <c:v>147803.59044635718</c:v>
                </c:pt>
                <c:pt idx="22">
                  <c:v>137246.19112876026</c:v>
                </c:pt>
                <c:pt idx="23">
                  <c:v>128096.44505350957</c:v>
                </c:pt>
                <c:pt idx="24">
                  <c:v>211862.72636955002</c:v>
                </c:pt>
                <c:pt idx="25">
                  <c:v>192602.47851777272</c:v>
                </c:pt>
                <c:pt idx="26">
                  <c:v>176552.27197462501</c:v>
                </c:pt>
                <c:pt idx="27">
                  <c:v>162971.3279765769</c:v>
                </c:pt>
                <c:pt idx="28">
                  <c:v>151330.51883539284</c:v>
                </c:pt>
                <c:pt idx="29">
                  <c:v>141241.8175797</c:v>
                </c:pt>
                <c:pt idx="30">
                  <c:v>247173.18076447499</c:v>
                </c:pt>
                <c:pt idx="31">
                  <c:v>224702.89160406817</c:v>
                </c:pt>
                <c:pt idx="32">
                  <c:v>205977.6506370625</c:v>
                </c:pt>
                <c:pt idx="33">
                  <c:v>190133.21597267306</c:v>
                </c:pt>
                <c:pt idx="34">
                  <c:v>176552.27197462498</c:v>
                </c:pt>
                <c:pt idx="35">
                  <c:v>164782.12050964998</c:v>
                </c:pt>
                <c:pt idx="36">
                  <c:v>282483.6351594</c:v>
                </c:pt>
                <c:pt idx="37">
                  <c:v>256803.30469036364</c:v>
                </c:pt>
                <c:pt idx="38">
                  <c:v>235403.02929950005</c:v>
                </c:pt>
                <c:pt idx="39">
                  <c:v>217295.10396876922</c:v>
                </c:pt>
                <c:pt idx="40">
                  <c:v>201774.02511385715</c:v>
                </c:pt>
                <c:pt idx="41">
                  <c:v>188322.42343960001</c:v>
                </c:pt>
                <c:pt idx="42">
                  <c:v>317794.08955432504</c:v>
                </c:pt>
                <c:pt idx="43">
                  <c:v>288903.71777665912</c:v>
                </c:pt>
                <c:pt idx="44">
                  <c:v>264828.40796193754</c:v>
                </c:pt>
                <c:pt idx="45">
                  <c:v>244456.99196486539</c:v>
                </c:pt>
                <c:pt idx="46">
                  <c:v>226995.77825308929</c:v>
                </c:pt>
                <c:pt idx="47">
                  <c:v>211862.72636954999</c:v>
                </c:pt>
                <c:pt idx="48">
                  <c:v>328387.49934689404</c:v>
                </c:pt>
                <c:pt idx="49">
                  <c:v>298534.09031535819</c:v>
                </c:pt>
                <c:pt idx="50">
                  <c:v>273656.24945574504</c:v>
                </c:pt>
                <c:pt idx="51">
                  <c:v>252605.76872838</c:v>
                </c:pt>
                <c:pt idx="52">
                  <c:v>234562.49953349575</c:v>
                </c:pt>
                <c:pt idx="53">
                  <c:v>218924.99956459602</c:v>
                </c:pt>
                <c:pt idx="54">
                  <c:v>383118.74923804303</c:v>
                </c:pt>
                <c:pt idx="55">
                  <c:v>348289.77203458454</c:v>
                </c:pt>
                <c:pt idx="56">
                  <c:v>319265.62436503585</c:v>
                </c:pt>
                <c:pt idx="57">
                  <c:v>294706.73018310999</c:v>
                </c:pt>
                <c:pt idx="58">
                  <c:v>273656.24945574504</c:v>
                </c:pt>
                <c:pt idx="59">
                  <c:v>255412.4994920287</c:v>
                </c:pt>
                <c:pt idx="60">
                  <c:v>437849.99912919209</c:v>
                </c:pt>
                <c:pt idx="61">
                  <c:v>398045.45375381096</c:v>
                </c:pt>
                <c:pt idx="62">
                  <c:v>364874.99927432672</c:v>
                </c:pt>
                <c:pt idx="63">
                  <c:v>336807.69163784006</c:v>
                </c:pt>
                <c:pt idx="64">
                  <c:v>312749.99937799433</c:v>
                </c:pt>
                <c:pt idx="65">
                  <c:v>291899.99941946141</c:v>
                </c:pt>
                <c:pt idx="66">
                  <c:v>492581.24902034109</c:v>
                </c:pt>
                <c:pt idx="67">
                  <c:v>447801.13547303731</c:v>
                </c:pt>
                <c:pt idx="68">
                  <c:v>410484.37418361759</c:v>
                </c:pt>
                <c:pt idx="69">
                  <c:v>378908.65309257002</c:v>
                </c:pt>
                <c:pt idx="70">
                  <c:v>351843.74930024362</c:v>
                </c:pt>
                <c:pt idx="71">
                  <c:v>328387.49934689404</c:v>
                </c:pt>
                <c:pt idx="72">
                  <c:v>484143.32928423159</c:v>
                </c:pt>
                <c:pt idx="73">
                  <c:v>440130.29934930144</c:v>
                </c:pt>
                <c:pt idx="74">
                  <c:v>403452.77440352633</c:v>
                </c:pt>
                <c:pt idx="75">
                  <c:v>372417.94560325512</c:v>
                </c:pt>
                <c:pt idx="76">
                  <c:v>345816.66377445118</c:v>
                </c:pt>
                <c:pt idx="77">
                  <c:v>322762.21952282108</c:v>
                </c:pt>
                <c:pt idx="78">
                  <c:v>564833.88416493684</c:v>
                </c:pt>
                <c:pt idx="79">
                  <c:v>513485.3492408517</c:v>
                </c:pt>
                <c:pt idx="80">
                  <c:v>470694.9034707807</c:v>
                </c:pt>
                <c:pt idx="81">
                  <c:v>434487.6032037976</c:v>
                </c:pt>
                <c:pt idx="82">
                  <c:v>403452.77440352633</c:v>
                </c:pt>
                <c:pt idx="83">
                  <c:v>376555.92277662462</c:v>
                </c:pt>
                <c:pt idx="84">
                  <c:v>645524.43904564215</c:v>
                </c:pt>
                <c:pt idx="85">
                  <c:v>586840.39913240203</c:v>
                </c:pt>
                <c:pt idx="86">
                  <c:v>537937.03253803519</c:v>
                </c:pt>
                <c:pt idx="87">
                  <c:v>496557.26080434019</c:v>
                </c:pt>
                <c:pt idx="88">
                  <c:v>461088.8850326016</c:v>
                </c:pt>
                <c:pt idx="89">
                  <c:v>430349.62603042816</c:v>
                </c:pt>
                <c:pt idx="90">
                  <c:v>726214.99392634747</c:v>
                </c:pt>
                <c:pt idx="91">
                  <c:v>660195.44902395224</c:v>
                </c:pt>
                <c:pt idx="92">
                  <c:v>605179.16160528956</c:v>
                </c:pt>
                <c:pt idx="93">
                  <c:v>558626.91840488266</c:v>
                </c:pt>
                <c:pt idx="94">
                  <c:v>518724.99566167674</c:v>
                </c:pt>
                <c:pt idx="95">
                  <c:v>484143.3292842317</c:v>
                </c:pt>
                <c:pt idx="96">
                  <c:v>685846.32321962574</c:v>
                </c:pt>
                <c:pt idx="97">
                  <c:v>623496.65747238707</c:v>
                </c:pt>
                <c:pt idx="98">
                  <c:v>571538.60268302145</c:v>
                </c:pt>
                <c:pt idx="99">
                  <c:v>527574.09478432743</c:v>
                </c:pt>
                <c:pt idx="100">
                  <c:v>489890.23087116121</c:v>
                </c:pt>
                <c:pt idx="101">
                  <c:v>457230.88214641716</c:v>
                </c:pt>
                <c:pt idx="102">
                  <c:v>800154.04375623004</c:v>
                </c:pt>
                <c:pt idx="103">
                  <c:v>727412.76705111819</c:v>
                </c:pt>
                <c:pt idx="104">
                  <c:v>666795.03646352503</c:v>
                </c:pt>
                <c:pt idx="105">
                  <c:v>615503.11058171536</c:v>
                </c:pt>
                <c:pt idx="106">
                  <c:v>571538.60268302145</c:v>
                </c:pt>
                <c:pt idx="107">
                  <c:v>533436.02917082002</c:v>
                </c:pt>
                <c:pt idx="108">
                  <c:v>914461.76429283433</c:v>
                </c:pt>
                <c:pt idx="109">
                  <c:v>831328.87662984943</c:v>
                </c:pt>
                <c:pt idx="110">
                  <c:v>762051.47024402861</c:v>
                </c:pt>
                <c:pt idx="111">
                  <c:v>703432.1263791034</c:v>
                </c:pt>
                <c:pt idx="112">
                  <c:v>653186.9744948817</c:v>
                </c:pt>
                <c:pt idx="113">
                  <c:v>609641.17619522288</c:v>
                </c:pt>
                <c:pt idx="114">
                  <c:v>1028769.4848294386</c:v>
                </c:pt>
                <c:pt idx="115">
                  <c:v>935244.98620858067</c:v>
                </c:pt>
                <c:pt idx="116">
                  <c:v>857307.90402453218</c:v>
                </c:pt>
                <c:pt idx="117">
                  <c:v>791361.14217649121</c:v>
                </c:pt>
                <c:pt idx="118">
                  <c:v>734835.34630674182</c:v>
                </c:pt>
                <c:pt idx="119">
                  <c:v>685846.32321962574</c:v>
                </c:pt>
                <c:pt idx="120">
                  <c:v>940367.39514976682</c:v>
                </c:pt>
                <c:pt idx="121">
                  <c:v>854879.45013615163</c:v>
                </c:pt>
                <c:pt idx="122">
                  <c:v>783639.49595813896</c:v>
                </c:pt>
                <c:pt idx="123">
                  <c:v>723359.53473058972</c:v>
                </c:pt>
                <c:pt idx="124">
                  <c:v>671690.99653554778</c:v>
                </c:pt>
                <c:pt idx="125">
                  <c:v>626911.59676651121</c:v>
                </c:pt>
                <c:pt idx="126">
                  <c:v>1097095.2943413947</c:v>
                </c:pt>
                <c:pt idx="127">
                  <c:v>997359.35849217686</c:v>
                </c:pt>
                <c:pt idx="128">
                  <c:v>914246.07861782878</c:v>
                </c:pt>
                <c:pt idx="129">
                  <c:v>843919.45718568796</c:v>
                </c:pt>
                <c:pt idx="130">
                  <c:v>783639.49595813907</c:v>
                </c:pt>
                <c:pt idx="131">
                  <c:v>731396.86289426312</c:v>
                </c:pt>
                <c:pt idx="132">
                  <c:v>1253823.1935330227</c:v>
                </c:pt>
                <c:pt idx="133">
                  <c:v>1139839.2668482023</c:v>
                </c:pt>
                <c:pt idx="134">
                  <c:v>1044852.6612775186</c:v>
                </c:pt>
                <c:pt idx="135">
                  <c:v>964479.37964078644</c:v>
                </c:pt>
                <c:pt idx="136">
                  <c:v>895587.99538073037</c:v>
                </c:pt>
                <c:pt idx="137">
                  <c:v>835882.12902201503</c:v>
                </c:pt>
                <c:pt idx="138">
                  <c:v>1410551.0927246504</c:v>
                </c:pt>
                <c:pt idx="139">
                  <c:v>1282319.1752042274</c:v>
                </c:pt>
                <c:pt idx="140">
                  <c:v>1175459.2439372086</c:v>
                </c:pt>
                <c:pt idx="141">
                  <c:v>1085039.3020958847</c:v>
                </c:pt>
                <c:pt idx="142">
                  <c:v>1007536.4948033217</c:v>
                </c:pt>
                <c:pt idx="143">
                  <c:v>940367.39514976682</c:v>
                </c:pt>
                <c:pt idx="144">
                  <c:v>1254630.1214821467</c:v>
                </c:pt>
                <c:pt idx="145">
                  <c:v>1140572.8377110423</c:v>
                </c:pt>
                <c:pt idx="146">
                  <c:v>1045525.1012351221</c:v>
                </c:pt>
                <c:pt idx="147">
                  <c:v>965100.09344780515</c:v>
                </c:pt>
                <c:pt idx="148">
                  <c:v>896164.37248724757</c:v>
                </c:pt>
                <c:pt idx="149">
                  <c:v>836420.08098809759</c:v>
                </c:pt>
                <c:pt idx="150">
                  <c:v>1463735.1417291709</c:v>
                </c:pt>
                <c:pt idx="151">
                  <c:v>1330668.3106628826</c:v>
                </c:pt>
                <c:pt idx="152">
                  <c:v>1219779.284774309</c:v>
                </c:pt>
                <c:pt idx="153">
                  <c:v>1125950.1090224392</c:v>
                </c:pt>
                <c:pt idx="154">
                  <c:v>1045525.1012351221</c:v>
                </c:pt>
                <c:pt idx="155">
                  <c:v>975823.42781944724</c:v>
                </c:pt>
                <c:pt idx="156">
                  <c:v>1672840.1619761956</c:v>
                </c:pt>
                <c:pt idx="157">
                  <c:v>1520763.7836147232</c:v>
                </c:pt>
                <c:pt idx="158">
                  <c:v>1394033.4683134963</c:v>
                </c:pt>
                <c:pt idx="159">
                  <c:v>1286800.1245970735</c:v>
                </c:pt>
                <c:pt idx="160">
                  <c:v>1194885.8299829967</c:v>
                </c:pt>
                <c:pt idx="161">
                  <c:v>1115226.774650797</c:v>
                </c:pt>
                <c:pt idx="162">
                  <c:v>1881945.1822232199</c:v>
                </c:pt>
                <c:pt idx="163">
                  <c:v>1710859.2565665636</c:v>
                </c:pt>
                <c:pt idx="164">
                  <c:v>1568287.6518526832</c:v>
                </c:pt>
                <c:pt idx="165">
                  <c:v>1447650.1401717078</c:v>
                </c:pt>
                <c:pt idx="166">
                  <c:v>1344246.5587308714</c:v>
                </c:pt>
                <c:pt idx="167">
                  <c:v>1254630.1214821464</c:v>
                </c:pt>
                <c:pt idx="168">
                  <c:v>1635490.0799085773</c:v>
                </c:pt>
                <c:pt idx="169">
                  <c:v>1486809.1635532521</c:v>
                </c:pt>
                <c:pt idx="170">
                  <c:v>1362908.3999238142</c:v>
                </c:pt>
                <c:pt idx="171">
                  <c:v>1258069.292237367</c:v>
                </c:pt>
                <c:pt idx="172">
                  <c:v>1168207.1999346982</c:v>
                </c:pt>
                <c:pt idx="173">
                  <c:v>1090326.7199390514</c:v>
                </c:pt>
                <c:pt idx="174">
                  <c:v>1908071.7598933401</c:v>
                </c:pt>
                <c:pt idx="175">
                  <c:v>1734610.6908121274</c:v>
                </c:pt>
                <c:pt idx="176">
                  <c:v>1590059.7999111167</c:v>
                </c:pt>
                <c:pt idx="177">
                  <c:v>1467747.5076102614</c:v>
                </c:pt>
                <c:pt idx="178">
                  <c:v>1362908.3999238145</c:v>
                </c:pt>
                <c:pt idx="179">
                  <c:v>1272047.8399288934</c:v>
                </c:pt>
                <c:pt idx="180">
                  <c:v>2180653.4398781033</c:v>
                </c:pt>
                <c:pt idx="181">
                  <c:v>1982412.218071003</c:v>
                </c:pt>
                <c:pt idx="182">
                  <c:v>1817211.1998984192</c:v>
                </c:pt>
                <c:pt idx="183">
                  <c:v>1677425.7229831563</c:v>
                </c:pt>
                <c:pt idx="184">
                  <c:v>1557609.599912931</c:v>
                </c:pt>
                <c:pt idx="185">
                  <c:v>1453768.9599187355</c:v>
                </c:pt>
                <c:pt idx="186">
                  <c:v>2453235.1198628661</c:v>
                </c:pt>
                <c:pt idx="187">
                  <c:v>2230213.7453298783</c:v>
                </c:pt>
                <c:pt idx="188">
                  <c:v>2044362.5998857217</c:v>
                </c:pt>
                <c:pt idx="189">
                  <c:v>1887103.9383560508</c:v>
                </c:pt>
                <c:pt idx="190">
                  <c:v>1752310.7999020473</c:v>
                </c:pt>
                <c:pt idx="191">
                  <c:v>1635490.0799085773</c:v>
                </c:pt>
                <c:pt idx="192">
                  <c:v>2089587.386402996</c:v>
                </c:pt>
                <c:pt idx="193">
                  <c:v>1899624.8967299962</c:v>
                </c:pt>
                <c:pt idx="194">
                  <c:v>1741322.8220024966</c:v>
                </c:pt>
                <c:pt idx="195">
                  <c:v>1607374.9126176892</c:v>
                </c:pt>
                <c:pt idx="196">
                  <c:v>1492562.418859283</c:v>
                </c:pt>
                <c:pt idx="197">
                  <c:v>1393058.2576019971</c:v>
                </c:pt>
                <c:pt idx="198">
                  <c:v>2437851.9508034955</c:v>
                </c:pt>
                <c:pt idx="199">
                  <c:v>2216229.0461849957</c:v>
                </c:pt>
                <c:pt idx="200">
                  <c:v>2031543.2923362458</c:v>
                </c:pt>
                <c:pt idx="201">
                  <c:v>1875270.7313873039</c:v>
                </c:pt>
                <c:pt idx="202">
                  <c:v>1741322.8220024968</c:v>
                </c:pt>
                <c:pt idx="203">
                  <c:v>1625234.6338689968</c:v>
                </c:pt>
                <c:pt idx="204">
                  <c:v>2786116.5152039952</c:v>
                </c:pt>
                <c:pt idx="205">
                  <c:v>2532833.1956399954</c:v>
                </c:pt>
                <c:pt idx="206">
                  <c:v>2321763.7626699954</c:v>
                </c:pt>
                <c:pt idx="207">
                  <c:v>2143166.5501569188</c:v>
                </c:pt>
                <c:pt idx="208">
                  <c:v>1990083.2251457106</c:v>
                </c:pt>
                <c:pt idx="209">
                  <c:v>1857411.0101359964</c:v>
                </c:pt>
                <c:pt idx="210">
                  <c:v>3134381.0796044944</c:v>
                </c:pt>
                <c:pt idx="211">
                  <c:v>2849437.3450949946</c:v>
                </c:pt>
                <c:pt idx="212">
                  <c:v>2611984.2330037449</c:v>
                </c:pt>
                <c:pt idx="213">
                  <c:v>2411062.368926534</c:v>
                </c:pt>
                <c:pt idx="214">
                  <c:v>2238843.6282889247</c:v>
                </c:pt>
                <c:pt idx="215">
                  <c:v>2089587.386402996</c:v>
                </c:pt>
                <c:pt idx="216">
                  <c:v>2623158.0299838055</c:v>
                </c:pt>
                <c:pt idx="217">
                  <c:v>2384689.1181670958</c:v>
                </c:pt>
                <c:pt idx="218">
                  <c:v>2185965.0249865046</c:v>
                </c:pt>
                <c:pt idx="219">
                  <c:v>2017813.8692183117</c:v>
                </c:pt>
                <c:pt idx="220">
                  <c:v>1873684.3071312897</c:v>
                </c:pt>
                <c:pt idx="221">
                  <c:v>1748772.0199892037</c:v>
                </c:pt>
                <c:pt idx="222">
                  <c:v>3060351.0349811064</c:v>
                </c:pt>
                <c:pt idx="223">
                  <c:v>2782137.3045282783</c:v>
                </c:pt>
                <c:pt idx="224">
                  <c:v>2550292.5291509219</c:v>
                </c:pt>
                <c:pt idx="225">
                  <c:v>2354116.180754697</c:v>
                </c:pt>
                <c:pt idx="226">
                  <c:v>2185965.0249865046</c:v>
                </c:pt>
                <c:pt idx="227">
                  <c:v>2040234.0233207375</c:v>
                </c:pt>
                <c:pt idx="228">
                  <c:v>3497544.0399784073</c:v>
                </c:pt>
                <c:pt idx="229">
                  <c:v>3179585.4908894617</c:v>
                </c:pt>
                <c:pt idx="230">
                  <c:v>2914620.0333153401</c:v>
                </c:pt>
                <c:pt idx="231">
                  <c:v>2690418.4922910826</c:v>
                </c:pt>
                <c:pt idx="232">
                  <c:v>2498245.7428417201</c:v>
                </c:pt>
                <c:pt idx="233">
                  <c:v>2331696.0266522719</c:v>
                </c:pt>
                <c:pt idx="234">
                  <c:v>3934737.0449757082</c:v>
                </c:pt>
                <c:pt idx="235">
                  <c:v>3577033.6772506442</c:v>
                </c:pt>
                <c:pt idx="236">
                  <c:v>3278947.5374797573</c:v>
                </c:pt>
                <c:pt idx="237">
                  <c:v>3026720.8038274678</c:v>
                </c:pt>
                <c:pt idx="238">
                  <c:v>2810526.4606969347</c:v>
                </c:pt>
                <c:pt idx="239">
                  <c:v>2623158.0299838055</c:v>
                </c:pt>
                <c:pt idx="240">
                  <c:v>3241776.6268154704</c:v>
                </c:pt>
                <c:pt idx="241">
                  <c:v>2947069.6607413366</c:v>
                </c:pt>
                <c:pt idx="242">
                  <c:v>2701480.522346226</c:v>
                </c:pt>
                <c:pt idx="243">
                  <c:v>2493674.3283195929</c:v>
                </c:pt>
                <c:pt idx="244">
                  <c:v>2315554.733439622</c:v>
                </c:pt>
                <c:pt idx="245">
                  <c:v>2161184.4178769807</c:v>
                </c:pt>
                <c:pt idx="246">
                  <c:v>3782072.7312847157</c:v>
                </c:pt>
                <c:pt idx="247">
                  <c:v>3438247.9375315593</c:v>
                </c:pt>
                <c:pt idx="248">
                  <c:v>3151727.2760705967</c:v>
                </c:pt>
                <c:pt idx="249">
                  <c:v>2909286.7163728583</c:v>
                </c:pt>
                <c:pt idx="250">
                  <c:v>2701480.5223462256</c:v>
                </c:pt>
                <c:pt idx="251">
                  <c:v>2521381.8208564771</c:v>
                </c:pt>
                <c:pt idx="252">
                  <c:v>4322368.8357539615</c:v>
                </c:pt>
                <c:pt idx="253">
                  <c:v>3929426.2143217828</c:v>
                </c:pt>
                <c:pt idx="254">
                  <c:v>3601974.0297949682</c:v>
                </c:pt>
                <c:pt idx="255">
                  <c:v>3324899.1044261241</c:v>
                </c:pt>
                <c:pt idx="256">
                  <c:v>3087406.3112528296</c:v>
                </c:pt>
                <c:pt idx="257">
                  <c:v>2881579.2238359745</c:v>
                </c:pt>
                <c:pt idx="258">
                  <c:v>4862664.9402232058</c:v>
                </c:pt>
                <c:pt idx="259">
                  <c:v>4420604.491112005</c:v>
                </c:pt>
                <c:pt idx="260">
                  <c:v>4052220.7835193388</c:v>
                </c:pt>
                <c:pt idx="261">
                  <c:v>3740511.4924793895</c:v>
                </c:pt>
                <c:pt idx="262">
                  <c:v>3473332.1001594332</c:v>
                </c:pt>
                <c:pt idx="263">
                  <c:v>3241776.6268154709</c:v>
                </c:pt>
                <c:pt idx="264">
                  <c:v>3949971.7551492411</c:v>
                </c:pt>
                <c:pt idx="265">
                  <c:v>3590883.4137720377</c:v>
                </c:pt>
                <c:pt idx="266">
                  <c:v>3291643.1292910343</c:v>
                </c:pt>
                <c:pt idx="267">
                  <c:v>3038439.8116532625</c:v>
                </c:pt>
                <c:pt idx="268">
                  <c:v>2821408.3965351726</c:v>
                </c:pt>
                <c:pt idx="269">
                  <c:v>2633314.5034328275</c:v>
                </c:pt>
                <c:pt idx="270">
                  <c:v>4608300.3810074478</c:v>
                </c:pt>
                <c:pt idx="271">
                  <c:v>4189363.9827340436</c:v>
                </c:pt>
                <c:pt idx="272">
                  <c:v>3840250.3175062062</c:v>
                </c:pt>
                <c:pt idx="273">
                  <c:v>3544846.4469288061</c:v>
                </c:pt>
                <c:pt idx="274">
                  <c:v>3291643.1292910343</c:v>
                </c:pt>
                <c:pt idx="275">
                  <c:v>3072200.2540049651</c:v>
                </c:pt>
                <c:pt idx="276">
                  <c:v>5266629.0068656551</c:v>
                </c:pt>
                <c:pt idx="277">
                  <c:v>4787844.55169605</c:v>
                </c:pt>
                <c:pt idx="278">
                  <c:v>4388857.5057213791</c:v>
                </c:pt>
                <c:pt idx="279">
                  <c:v>4051253.0822043503</c:v>
                </c:pt>
                <c:pt idx="280">
                  <c:v>3761877.8620468969</c:v>
                </c:pt>
                <c:pt idx="281">
                  <c:v>3511086.0045771035</c:v>
                </c:pt>
                <c:pt idx="282">
                  <c:v>5924957.6327238623</c:v>
                </c:pt>
                <c:pt idx="283">
                  <c:v>5386325.1206580568</c:v>
                </c:pt>
                <c:pt idx="284">
                  <c:v>4937464.6939365519</c:v>
                </c:pt>
                <c:pt idx="285">
                  <c:v>4557659.7174798939</c:v>
                </c:pt>
                <c:pt idx="286">
                  <c:v>4232112.5948027587</c:v>
                </c:pt>
                <c:pt idx="287">
                  <c:v>3949971.7551492411</c:v>
                </c:pt>
                <c:pt idx="288">
                  <c:v>4750562.4700002791</c:v>
                </c:pt>
                <c:pt idx="289">
                  <c:v>4318693.1545457086</c:v>
                </c:pt>
                <c:pt idx="290">
                  <c:v>3958802.0583335659</c:v>
                </c:pt>
                <c:pt idx="291">
                  <c:v>3654278.823077138</c:v>
                </c:pt>
                <c:pt idx="292">
                  <c:v>3393258.9071430559</c:v>
                </c:pt>
                <c:pt idx="293">
                  <c:v>3167041.6466668528</c:v>
                </c:pt>
                <c:pt idx="294">
                  <c:v>5542322.8816669919</c:v>
                </c:pt>
                <c:pt idx="295">
                  <c:v>5038475.3469699929</c:v>
                </c:pt>
                <c:pt idx="296">
                  <c:v>4618602.4013891602</c:v>
                </c:pt>
                <c:pt idx="297">
                  <c:v>4263325.2935899943</c:v>
                </c:pt>
                <c:pt idx="298">
                  <c:v>3958802.0583335655</c:v>
                </c:pt>
                <c:pt idx="299">
                  <c:v>3694881.9211113281</c:v>
                </c:pt>
                <c:pt idx="300">
                  <c:v>6334083.2933337055</c:v>
                </c:pt>
                <c:pt idx="301">
                  <c:v>5758257.5393942781</c:v>
                </c:pt>
                <c:pt idx="302">
                  <c:v>5278402.7444447549</c:v>
                </c:pt>
                <c:pt idx="303">
                  <c:v>4872371.764102851</c:v>
                </c:pt>
                <c:pt idx="304">
                  <c:v>4524345.2095240755</c:v>
                </c:pt>
                <c:pt idx="305">
                  <c:v>4222722.1955558043</c:v>
                </c:pt>
                <c:pt idx="306">
                  <c:v>7125843.7050004192</c:v>
                </c:pt>
                <c:pt idx="307">
                  <c:v>6478039.7318185633</c:v>
                </c:pt>
                <c:pt idx="308">
                  <c:v>5938203.0875003496</c:v>
                </c:pt>
                <c:pt idx="309">
                  <c:v>5481418.2346157078</c:v>
                </c:pt>
                <c:pt idx="310">
                  <c:v>5089888.3607145846</c:v>
                </c:pt>
                <c:pt idx="311">
                  <c:v>4750562.4700002791</c:v>
                </c:pt>
                <c:pt idx="312">
                  <c:v>5643188.1254433375</c:v>
                </c:pt>
                <c:pt idx="313">
                  <c:v>5130171.023130306</c:v>
                </c:pt>
                <c:pt idx="314">
                  <c:v>4702656.7712027812</c:v>
                </c:pt>
                <c:pt idx="315">
                  <c:v>4340913.9426487209</c:v>
                </c:pt>
                <c:pt idx="316">
                  <c:v>4030848.6610309551</c:v>
                </c:pt>
                <c:pt idx="317">
                  <c:v>3762125.416962225</c:v>
                </c:pt>
                <c:pt idx="318">
                  <c:v>6583719.4796838937</c:v>
                </c:pt>
                <c:pt idx="319">
                  <c:v>5985199.5269853575</c:v>
                </c:pt>
                <c:pt idx="320">
                  <c:v>5486432.8997365776</c:v>
                </c:pt>
                <c:pt idx="321">
                  <c:v>5064399.5997568406</c:v>
                </c:pt>
                <c:pt idx="322">
                  <c:v>4702656.7712027812</c:v>
                </c:pt>
                <c:pt idx="323">
                  <c:v>4389146.3197892625</c:v>
                </c:pt>
                <c:pt idx="324">
                  <c:v>7524250.83392445</c:v>
                </c:pt>
                <c:pt idx="325">
                  <c:v>6840228.030840409</c:v>
                </c:pt>
                <c:pt idx="326">
                  <c:v>6270209.028270375</c:v>
                </c:pt>
                <c:pt idx="327">
                  <c:v>5787885.2568649612</c:v>
                </c:pt>
                <c:pt idx="328">
                  <c:v>5374464.8813746078</c:v>
                </c:pt>
                <c:pt idx="329">
                  <c:v>5016167.2226163</c:v>
                </c:pt>
                <c:pt idx="330">
                  <c:v>8464782.1881650072</c:v>
                </c:pt>
                <c:pt idx="331">
                  <c:v>7695256.5346954605</c:v>
                </c:pt>
                <c:pt idx="332">
                  <c:v>7053985.1568041723</c:v>
                </c:pt>
                <c:pt idx="333">
                  <c:v>6511370.9139730819</c:v>
                </c:pt>
                <c:pt idx="334">
                  <c:v>6046272.9915464334</c:v>
                </c:pt>
                <c:pt idx="335">
                  <c:v>5643188.1254433375</c:v>
                </c:pt>
                <c:pt idx="336">
                  <c:v>6617700</c:v>
                </c:pt>
                <c:pt idx="337">
                  <c:v>6016090.9090909092</c:v>
                </c:pt>
                <c:pt idx="338">
                  <c:v>5514750</c:v>
                </c:pt>
                <c:pt idx="339">
                  <c:v>5090538.461538462</c:v>
                </c:pt>
                <c:pt idx="340">
                  <c:v>4726928.5714285709</c:v>
                </c:pt>
                <c:pt idx="341">
                  <c:v>4411800</c:v>
                </c:pt>
                <c:pt idx="342">
                  <c:v>7720649.9999999991</c:v>
                </c:pt>
                <c:pt idx="343">
                  <c:v>7018772.7272727266</c:v>
                </c:pt>
                <c:pt idx="344">
                  <c:v>6433875</c:v>
                </c:pt>
                <c:pt idx="345">
                  <c:v>5938961.538461539</c:v>
                </c:pt>
                <c:pt idx="346">
                  <c:v>5514749.9999999991</c:v>
                </c:pt>
                <c:pt idx="347">
                  <c:v>5147100</c:v>
                </c:pt>
                <c:pt idx="348">
                  <c:v>8823600</c:v>
                </c:pt>
                <c:pt idx="349">
                  <c:v>8021454.5454545459</c:v>
                </c:pt>
                <c:pt idx="350">
                  <c:v>7353000</c:v>
                </c:pt>
                <c:pt idx="351">
                  <c:v>6787384.615384616</c:v>
                </c:pt>
                <c:pt idx="352">
                  <c:v>6302571.4285714291</c:v>
                </c:pt>
                <c:pt idx="353">
                  <c:v>5882400</c:v>
                </c:pt>
                <c:pt idx="354">
                  <c:v>9926550</c:v>
                </c:pt>
                <c:pt idx="355">
                  <c:v>9024136.3636363633</c:v>
                </c:pt>
                <c:pt idx="356">
                  <c:v>8272125</c:v>
                </c:pt>
                <c:pt idx="357">
                  <c:v>7635807.692307693</c:v>
                </c:pt>
                <c:pt idx="358">
                  <c:v>7090392.8571428573</c:v>
                </c:pt>
                <c:pt idx="359">
                  <c:v>6617700</c:v>
                </c:pt>
                <c:pt idx="360">
                  <c:v>7660814.9624999994</c:v>
                </c:pt>
                <c:pt idx="361">
                  <c:v>6964377.2386363642</c:v>
                </c:pt>
                <c:pt idx="362">
                  <c:v>6384012.46875</c:v>
                </c:pt>
                <c:pt idx="363">
                  <c:v>5892934.586538461</c:v>
                </c:pt>
                <c:pt idx="364">
                  <c:v>5472010.6875</c:v>
                </c:pt>
                <c:pt idx="365">
                  <c:v>5107209.9749999996</c:v>
                </c:pt>
                <c:pt idx="366">
                  <c:v>8937617.4562499989</c:v>
                </c:pt>
                <c:pt idx="367">
                  <c:v>8125106.7784090908</c:v>
                </c:pt>
                <c:pt idx="368">
                  <c:v>7448014.5468749991</c:v>
                </c:pt>
                <c:pt idx="369">
                  <c:v>6875090.3509615371</c:v>
                </c:pt>
                <c:pt idx="370">
                  <c:v>6384012.46875</c:v>
                </c:pt>
                <c:pt idx="371">
                  <c:v>5958411.6374999993</c:v>
                </c:pt>
                <c:pt idx="372">
                  <c:v>10214419.950000001</c:v>
                </c:pt>
                <c:pt idx="373">
                  <c:v>9285836.3181818184</c:v>
                </c:pt>
                <c:pt idx="374">
                  <c:v>8512016.625</c:v>
                </c:pt>
                <c:pt idx="375">
                  <c:v>7857246.115384615</c:v>
                </c:pt>
                <c:pt idx="376">
                  <c:v>7296014.25</c:v>
                </c:pt>
                <c:pt idx="377">
                  <c:v>6809613.3000000007</c:v>
                </c:pt>
                <c:pt idx="378">
                  <c:v>11491222.44375</c:v>
                </c:pt>
                <c:pt idx="379">
                  <c:v>10446565.857954547</c:v>
                </c:pt>
                <c:pt idx="380">
                  <c:v>9576018.703125</c:v>
                </c:pt>
                <c:pt idx="381">
                  <c:v>8839401.879807692</c:v>
                </c:pt>
                <c:pt idx="382">
                  <c:v>8208016.03125</c:v>
                </c:pt>
                <c:pt idx="383">
                  <c:v>7660814.9625000004</c:v>
                </c:pt>
                <c:pt idx="384">
                  <c:v>8808158.6999999993</c:v>
                </c:pt>
                <c:pt idx="385">
                  <c:v>8007417</c:v>
                </c:pt>
                <c:pt idx="386">
                  <c:v>7340132.25</c:v>
                </c:pt>
                <c:pt idx="387">
                  <c:v>6775506.692307692</c:v>
                </c:pt>
                <c:pt idx="388">
                  <c:v>6291541.9285714282</c:v>
                </c:pt>
                <c:pt idx="389">
                  <c:v>5872105.7999999998</c:v>
                </c:pt>
                <c:pt idx="390">
                  <c:v>10276185.149999999</c:v>
                </c:pt>
                <c:pt idx="391">
                  <c:v>9341986.5</c:v>
                </c:pt>
                <c:pt idx="392">
                  <c:v>8563487.625</c:v>
                </c:pt>
                <c:pt idx="393">
                  <c:v>7904757.807692307</c:v>
                </c:pt>
                <c:pt idx="394">
                  <c:v>7340132.25</c:v>
                </c:pt>
                <c:pt idx="395">
                  <c:v>6850790.0999999996</c:v>
                </c:pt>
                <c:pt idx="396">
                  <c:v>11744211.600000001</c:v>
                </c:pt>
                <c:pt idx="397">
                  <c:v>10676556</c:v>
                </c:pt>
                <c:pt idx="398">
                  <c:v>9786843</c:v>
                </c:pt>
                <c:pt idx="399">
                  <c:v>9034008.9230769239</c:v>
                </c:pt>
                <c:pt idx="400">
                  <c:v>8388722.5714285728</c:v>
                </c:pt>
                <c:pt idx="401">
                  <c:v>7829474.4000000004</c:v>
                </c:pt>
                <c:pt idx="402">
                  <c:v>13212238.050000001</c:v>
                </c:pt>
                <c:pt idx="403">
                  <c:v>12011125.5</c:v>
                </c:pt>
                <c:pt idx="404">
                  <c:v>11010198.375</c:v>
                </c:pt>
                <c:pt idx="405">
                  <c:v>10163260.038461538</c:v>
                </c:pt>
                <c:pt idx="406">
                  <c:v>9437312.8928571437</c:v>
                </c:pt>
                <c:pt idx="407">
                  <c:v>8808158.7000000011</c:v>
                </c:pt>
                <c:pt idx="408">
                  <c:v>10064694.487499999</c:v>
                </c:pt>
                <c:pt idx="409">
                  <c:v>9149722.2613636348</c:v>
                </c:pt>
                <c:pt idx="410">
                  <c:v>8387245.40625</c:v>
                </c:pt>
                <c:pt idx="411">
                  <c:v>7742072.682692308</c:v>
                </c:pt>
                <c:pt idx="412">
                  <c:v>7189067.4910714282</c:v>
                </c:pt>
                <c:pt idx="413">
                  <c:v>6709796.3250000002</c:v>
                </c:pt>
                <c:pt idx="414">
                  <c:v>11742143.56875</c:v>
                </c:pt>
                <c:pt idx="415">
                  <c:v>10674675.971590908</c:v>
                </c:pt>
                <c:pt idx="416">
                  <c:v>9785119.640625</c:v>
                </c:pt>
                <c:pt idx="417">
                  <c:v>9032418.129807692</c:v>
                </c:pt>
                <c:pt idx="418">
                  <c:v>8387245.40625</c:v>
                </c:pt>
                <c:pt idx="419">
                  <c:v>7828095.7124999994</c:v>
                </c:pt>
                <c:pt idx="420">
                  <c:v>13419592.65</c:v>
                </c:pt>
                <c:pt idx="421">
                  <c:v>12199629.681818182</c:v>
                </c:pt>
                <c:pt idx="422">
                  <c:v>11182993.875</c:v>
                </c:pt>
                <c:pt idx="423">
                  <c:v>10322763.57692308</c:v>
                </c:pt>
                <c:pt idx="424">
                  <c:v>9585423.3214285728</c:v>
                </c:pt>
                <c:pt idx="425">
                  <c:v>8946395.0999999996</c:v>
                </c:pt>
                <c:pt idx="426">
                  <c:v>15097041.731250001</c:v>
                </c:pt>
                <c:pt idx="427">
                  <c:v>13724583.392045455</c:v>
                </c:pt>
                <c:pt idx="428">
                  <c:v>12580868.109375</c:v>
                </c:pt>
                <c:pt idx="429">
                  <c:v>11613109.024038464</c:v>
                </c:pt>
                <c:pt idx="430">
                  <c:v>10783601.236607144</c:v>
                </c:pt>
                <c:pt idx="431">
                  <c:v>10064694.487500001</c:v>
                </c:pt>
                <c:pt idx="432">
                  <c:v>11417074.878351934</c:v>
                </c:pt>
                <c:pt idx="433">
                  <c:v>10379158.980319938</c:v>
                </c:pt>
                <c:pt idx="434">
                  <c:v>9514229.0652932767</c:v>
                </c:pt>
                <c:pt idx="435">
                  <c:v>8782365.2910399493</c:v>
                </c:pt>
                <c:pt idx="436">
                  <c:v>8155053.4845370948</c:v>
                </c:pt>
                <c:pt idx="437">
                  <c:v>7611383.2522346219</c:v>
                </c:pt>
                <c:pt idx="438">
                  <c:v>13319920.69141059</c:v>
                </c:pt>
                <c:pt idx="439">
                  <c:v>12109018.810373262</c:v>
                </c:pt>
                <c:pt idx="440">
                  <c:v>11099933.909508822</c:v>
                </c:pt>
                <c:pt idx="441">
                  <c:v>10246092.839546606</c:v>
                </c:pt>
                <c:pt idx="442">
                  <c:v>9514229.0652932767</c:v>
                </c:pt>
                <c:pt idx="443">
                  <c:v>8879947.1276070587</c:v>
                </c:pt>
                <c:pt idx="444">
                  <c:v>15222766.504469246</c:v>
                </c:pt>
                <c:pt idx="445">
                  <c:v>13838878.640426585</c:v>
                </c:pt>
                <c:pt idx="446">
                  <c:v>12685638.75372437</c:v>
                </c:pt>
                <c:pt idx="447">
                  <c:v>11709820.388053266</c:v>
                </c:pt>
                <c:pt idx="448">
                  <c:v>10873404.646049462</c:v>
                </c:pt>
                <c:pt idx="449">
                  <c:v>10148511.002979496</c:v>
                </c:pt>
                <c:pt idx="450">
                  <c:v>17125612.317527901</c:v>
                </c:pt>
                <c:pt idx="451">
                  <c:v>15568738.470479909</c:v>
                </c:pt>
                <c:pt idx="452">
                  <c:v>14271343.597939916</c:v>
                </c:pt>
                <c:pt idx="453">
                  <c:v>13173547.936559923</c:v>
                </c:pt>
                <c:pt idx="454">
                  <c:v>12232580.226805644</c:v>
                </c:pt>
                <c:pt idx="455">
                  <c:v>11417074.878351934</c:v>
                </c:pt>
                <c:pt idx="456">
                  <c:v>12843386.182418766</c:v>
                </c:pt>
                <c:pt idx="457">
                  <c:v>11675805.620380698</c:v>
                </c:pt>
                <c:pt idx="458">
                  <c:v>10702821.818682307</c:v>
                </c:pt>
                <c:pt idx="459">
                  <c:v>9879527.8326298203</c:v>
                </c:pt>
                <c:pt idx="460">
                  <c:v>9173847.2731562611</c:v>
                </c:pt>
                <c:pt idx="461">
                  <c:v>8562257.4549458455</c:v>
                </c:pt>
                <c:pt idx="462">
                  <c:v>14983950.546155227</c:v>
                </c:pt>
                <c:pt idx="463">
                  <c:v>13621773.22377748</c:v>
                </c:pt>
                <c:pt idx="464">
                  <c:v>12486625.455129357</c:v>
                </c:pt>
                <c:pt idx="465">
                  <c:v>11526115.804734791</c:v>
                </c:pt>
                <c:pt idx="466">
                  <c:v>10702821.818682306</c:v>
                </c:pt>
                <c:pt idx="467">
                  <c:v>9989300.3641034849</c:v>
                </c:pt>
                <c:pt idx="468">
                  <c:v>17124514.909891691</c:v>
                </c:pt>
                <c:pt idx="469">
                  <c:v>15567740.827174265</c:v>
                </c:pt>
                <c:pt idx="470">
                  <c:v>14270429.09157641</c:v>
                </c:pt>
                <c:pt idx="471">
                  <c:v>13172703.776839763</c:v>
                </c:pt>
                <c:pt idx="472">
                  <c:v>12231796.36420835</c:v>
                </c:pt>
                <c:pt idx="473">
                  <c:v>11416343.273261128</c:v>
                </c:pt>
                <c:pt idx="474">
                  <c:v>19265079.273628149</c:v>
                </c:pt>
                <c:pt idx="475">
                  <c:v>17513708.430571049</c:v>
                </c:pt>
                <c:pt idx="476">
                  <c:v>16054232.72802346</c:v>
                </c:pt>
                <c:pt idx="477">
                  <c:v>14819291.748944731</c:v>
                </c:pt>
                <c:pt idx="478">
                  <c:v>13760770.909734394</c:v>
                </c:pt>
                <c:pt idx="479">
                  <c:v>12843386.182418767</c:v>
                </c:pt>
                <c:pt idx="480">
                  <c:v>14352843.124718515</c:v>
                </c:pt>
                <c:pt idx="481">
                  <c:v>13048039.204289557</c:v>
                </c:pt>
                <c:pt idx="482">
                  <c:v>11960702.603932096</c:v>
                </c:pt>
                <c:pt idx="483">
                  <c:v>11040648.557475779</c:v>
                </c:pt>
                <c:pt idx="484">
                  <c:v>10252030.803370368</c:v>
                </c:pt>
                <c:pt idx="485">
                  <c:v>9568562.0831456762</c:v>
                </c:pt>
                <c:pt idx="486">
                  <c:v>16744983.645504933</c:v>
                </c:pt>
                <c:pt idx="487">
                  <c:v>15222712.405004485</c:v>
                </c:pt>
                <c:pt idx="488">
                  <c:v>13954153.037920777</c:v>
                </c:pt>
                <c:pt idx="489">
                  <c:v>12880756.650388408</c:v>
                </c:pt>
                <c:pt idx="490">
                  <c:v>11960702.603932096</c:v>
                </c:pt>
                <c:pt idx="491">
                  <c:v>11163322.430336623</c:v>
                </c:pt>
                <c:pt idx="492">
                  <c:v>19137124.166291352</c:v>
                </c:pt>
                <c:pt idx="493">
                  <c:v>17397385.605719414</c:v>
                </c:pt>
                <c:pt idx="494">
                  <c:v>15947603.471909462</c:v>
                </c:pt>
                <c:pt idx="495">
                  <c:v>14720864.743301041</c:v>
                </c:pt>
                <c:pt idx="496">
                  <c:v>13669374.404493824</c:v>
                </c:pt>
                <c:pt idx="497">
                  <c:v>12758082.777527571</c:v>
                </c:pt>
                <c:pt idx="498">
                  <c:v>21529264.687077772</c:v>
                </c:pt>
                <c:pt idx="499">
                  <c:v>19572058.806434337</c:v>
                </c:pt>
                <c:pt idx="500">
                  <c:v>17941053.905898143</c:v>
                </c:pt>
                <c:pt idx="501">
                  <c:v>16560972.836213671</c:v>
                </c:pt>
                <c:pt idx="502">
                  <c:v>15378046.205055552</c:v>
                </c:pt>
                <c:pt idx="503">
                  <c:v>14352843.124718515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CSR_VBM!$M$1</c:f>
              <c:strCache>
                <c:ptCount val="1"/>
                <c:pt idx="0">
                  <c:v>Mv-s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CSR_VBM!$B$2:$B$505</c:f>
              <c:numCache>
                <c:formatCode>0.00</c:formatCode>
                <c:ptCount val="504"/>
                <c:pt idx="0">
                  <c:v>18</c:v>
                </c:pt>
                <c:pt idx="1">
                  <c:v>16.363636363636363</c:v>
                </c:pt>
                <c:pt idx="2">
                  <c:v>15</c:v>
                </c:pt>
                <c:pt idx="3">
                  <c:v>13.846153846153847</c:v>
                </c:pt>
                <c:pt idx="4">
                  <c:v>12.857142857142858</c:v>
                </c:pt>
                <c:pt idx="5">
                  <c:v>12</c:v>
                </c:pt>
                <c:pt idx="6">
                  <c:v>18</c:v>
                </c:pt>
                <c:pt idx="7">
                  <c:v>16.363636363636363</c:v>
                </c:pt>
                <c:pt idx="8">
                  <c:v>15</c:v>
                </c:pt>
                <c:pt idx="9">
                  <c:v>13.846153846153847</c:v>
                </c:pt>
                <c:pt idx="10">
                  <c:v>12.857142857142858</c:v>
                </c:pt>
                <c:pt idx="11">
                  <c:v>12</c:v>
                </c:pt>
                <c:pt idx="12">
                  <c:v>18</c:v>
                </c:pt>
                <c:pt idx="13">
                  <c:v>16.363636363636363</c:v>
                </c:pt>
                <c:pt idx="14">
                  <c:v>15</c:v>
                </c:pt>
                <c:pt idx="15">
                  <c:v>13.846153846153847</c:v>
                </c:pt>
                <c:pt idx="16">
                  <c:v>12.857142857142858</c:v>
                </c:pt>
                <c:pt idx="17">
                  <c:v>12</c:v>
                </c:pt>
                <c:pt idx="18">
                  <c:v>18</c:v>
                </c:pt>
                <c:pt idx="19">
                  <c:v>16.363636363636363</c:v>
                </c:pt>
                <c:pt idx="20">
                  <c:v>15</c:v>
                </c:pt>
                <c:pt idx="21">
                  <c:v>13.846153846153847</c:v>
                </c:pt>
                <c:pt idx="22">
                  <c:v>12.857142857142858</c:v>
                </c:pt>
                <c:pt idx="23">
                  <c:v>12</c:v>
                </c:pt>
                <c:pt idx="24">
                  <c:v>21</c:v>
                </c:pt>
                <c:pt idx="25">
                  <c:v>19.09090909090909</c:v>
                </c:pt>
                <c:pt idx="26">
                  <c:v>17.5</c:v>
                </c:pt>
                <c:pt idx="27">
                  <c:v>16.153846153846153</c:v>
                </c:pt>
                <c:pt idx="28">
                  <c:v>15</c:v>
                </c:pt>
                <c:pt idx="29">
                  <c:v>14</c:v>
                </c:pt>
                <c:pt idx="30">
                  <c:v>21</c:v>
                </c:pt>
                <c:pt idx="31">
                  <c:v>19.09090909090909</c:v>
                </c:pt>
                <c:pt idx="32">
                  <c:v>17.5</c:v>
                </c:pt>
                <c:pt idx="33">
                  <c:v>16.153846153846153</c:v>
                </c:pt>
                <c:pt idx="34">
                  <c:v>15</c:v>
                </c:pt>
                <c:pt idx="35">
                  <c:v>14</c:v>
                </c:pt>
                <c:pt idx="36">
                  <c:v>21</c:v>
                </c:pt>
                <c:pt idx="37">
                  <c:v>19.09090909090909</c:v>
                </c:pt>
                <c:pt idx="38">
                  <c:v>17.5</c:v>
                </c:pt>
                <c:pt idx="39">
                  <c:v>16.153846153846153</c:v>
                </c:pt>
                <c:pt idx="40">
                  <c:v>15</c:v>
                </c:pt>
                <c:pt idx="41">
                  <c:v>14</c:v>
                </c:pt>
                <c:pt idx="42">
                  <c:v>21</c:v>
                </c:pt>
                <c:pt idx="43">
                  <c:v>19.09090909090909</c:v>
                </c:pt>
                <c:pt idx="44">
                  <c:v>17.5</c:v>
                </c:pt>
                <c:pt idx="45">
                  <c:v>16.153846153846153</c:v>
                </c:pt>
                <c:pt idx="46">
                  <c:v>15</c:v>
                </c:pt>
                <c:pt idx="47">
                  <c:v>14</c:v>
                </c:pt>
                <c:pt idx="48">
                  <c:v>24</c:v>
                </c:pt>
                <c:pt idx="49">
                  <c:v>21.818181818181817</c:v>
                </c:pt>
                <c:pt idx="50">
                  <c:v>20</c:v>
                </c:pt>
                <c:pt idx="51">
                  <c:v>18.46153846153846</c:v>
                </c:pt>
                <c:pt idx="52">
                  <c:v>17.142857142857142</c:v>
                </c:pt>
                <c:pt idx="53">
                  <c:v>16</c:v>
                </c:pt>
                <c:pt idx="54">
                  <c:v>24</c:v>
                </c:pt>
                <c:pt idx="55">
                  <c:v>21.818181818181817</c:v>
                </c:pt>
                <c:pt idx="56">
                  <c:v>20</c:v>
                </c:pt>
                <c:pt idx="57">
                  <c:v>18.46153846153846</c:v>
                </c:pt>
                <c:pt idx="58">
                  <c:v>17.142857142857142</c:v>
                </c:pt>
                <c:pt idx="59">
                  <c:v>16</c:v>
                </c:pt>
                <c:pt idx="60">
                  <c:v>24</c:v>
                </c:pt>
                <c:pt idx="61">
                  <c:v>21.818181818181817</c:v>
                </c:pt>
                <c:pt idx="62">
                  <c:v>20</c:v>
                </c:pt>
                <c:pt idx="63">
                  <c:v>18.46153846153846</c:v>
                </c:pt>
                <c:pt idx="64">
                  <c:v>17.142857142857142</c:v>
                </c:pt>
                <c:pt idx="65">
                  <c:v>16</c:v>
                </c:pt>
                <c:pt idx="66">
                  <c:v>24</c:v>
                </c:pt>
                <c:pt idx="67">
                  <c:v>21.818181818181817</c:v>
                </c:pt>
                <c:pt idx="68">
                  <c:v>20</c:v>
                </c:pt>
                <c:pt idx="69">
                  <c:v>18.46153846153846</c:v>
                </c:pt>
                <c:pt idx="70">
                  <c:v>17.142857142857142</c:v>
                </c:pt>
                <c:pt idx="71">
                  <c:v>16</c:v>
                </c:pt>
                <c:pt idx="72">
                  <c:v>27</c:v>
                </c:pt>
                <c:pt idx="73">
                  <c:v>24.545454545454547</c:v>
                </c:pt>
                <c:pt idx="74">
                  <c:v>22.5</c:v>
                </c:pt>
                <c:pt idx="75">
                  <c:v>20.76923076923077</c:v>
                </c:pt>
                <c:pt idx="76">
                  <c:v>19.285714285714285</c:v>
                </c:pt>
                <c:pt idx="77">
                  <c:v>18</c:v>
                </c:pt>
                <c:pt idx="78">
                  <c:v>27</c:v>
                </c:pt>
                <c:pt idx="79">
                  <c:v>24.545454545454547</c:v>
                </c:pt>
                <c:pt idx="80">
                  <c:v>22.5</c:v>
                </c:pt>
                <c:pt idx="81">
                  <c:v>20.76923076923077</c:v>
                </c:pt>
                <c:pt idx="82">
                  <c:v>19.285714285714285</c:v>
                </c:pt>
                <c:pt idx="83">
                  <c:v>18</c:v>
                </c:pt>
                <c:pt idx="84">
                  <c:v>27</c:v>
                </c:pt>
                <c:pt idx="85">
                  <c:v>24.545454545454547</c:v>
                </c:pt>
                <c:pt idx="86">
                  <c:v>22.5</c:v>
                </c:pt>
                <c:pt idx="87">
                  <c:v>20.76923076923077</c:v>
                </c:pt>
                <c:pt idx="88">
                  <c:v>19.285714285714285</c:v>
                </c:pt>
                <c:pt idx="89">
                  <c:v>18</c:v>
                </c:pt>
                <c:pt idx="90">
                  <c:v>27</c:v>
                </c:pt>
                <c:pt idx="91">
                  <c:v>24.545454545454547</c:v>
                </c:pt>
                <c:pt idx="92">
                  <c:v>22.5</c:v>
                </c:pt>
                <c:pt idx="93">
                  <c:v>20.76923076923077</c:v>
                </c:pt>
                <c:pt idx="94">
                  <c:v>19.285714285714285</c:v>
                </c:pt>
                <c:pt idx="95">
                  <c:v>18</c:v>
                </c:pt>
                <c:pt idx="96">
                  <c:v>30</c:v>
                </c:pt>
                <c:pt idx="97">
                  <c:v>27.272727272727273</c:v>
                </c:pt>
                <c:pt idx="98">
                  <c:v>25</c:v>
                </c:pt>
                <c:pt idx="99">
                  <c:v>23.076923076923077</c:v>
                </c:pt>
                <c:pt idx="100">
                  <c:v>21.428571428571427</c:v>
                </c:pt>
                <c:pt idx="101">
                  <c:v>20</c:v>
                </c:pt>
                <c:pt idx="102">
                  <c:v>30</c:v>
                </c:pt>
                <c:pt idx="103">
                  <c:v>27.272727272727273</c:v>
                </c:pt>
                <c:pt idx="104">
                  <c:v>25</c:v>
                </c:pt>
                <c:pt idx="105">
                  <c:v>23.076923076923077</c:v>
                </c:pt>
                <c:pt idx="106">
                  <c:v>21.428571428571427</c:v>
                </c:pt>
                <c:pt idx="107">
                  <c:v>20</c:v>
                </c:pt>
                <c:pt idx="108">
                  <c:v>30</c:v>
                </c:pt>
                <c:pt idx="109">
                  <c:v>27.272727272727273</c:v>
                </c:pt>
                <c:pt idx="110">
                  <c:v>25</c:v>
                </c:pt>
                <c:pt idx="111">
                  <c:v>23.076923076923077</c:v>
                </c:pt>
                <c:pt idx="112">
                  <c:v>21.428571428571427</c:v>
                </c:pt>
                <c:pt idx="113">
                  <c:v>20</c:v>
                </c:pt>
                <c:pt idx="114">
                  <c:v>30</c:v>
                </c:pt>
                <c:pt idx="115">
                  <c:v>27.272727272727273</c:v>
                </c:pt>
                <c:pt idx="116">
                  <c:v>25</c:v>
                </c:pt>
                <c:pt idx="117">
                  <c:v>23.076923076923077</c:v>
                </c:pt>
                <c:pt idx="118">
                  <c:v>21.428571428571427</c:v>
                </c:pt>
                <c:pt idx="119">
                  <c:v>20</c:v>
                </c:pt>
                <c:pt idx="120">
                  <c:v>33</c:v>
                </c:pt>
                <c:pt idx="121">
                  <c:v>30</c:v>
                </c:pt>
                <c:pt idx="122">
                  <c:v>27.5</c:v>
                </c:pt>
                <c:pt idx="123">
                  <c:v>25.384615384615383</c:v>
                </c:pt>
                <c:pt idx="124">
                  <c:v>23.571428571428573</c:v>
                </c:pt>
                <c:pt idx="125">
                  <c:v>22</c:v>
                </c:pt>
                <c:pt idx="126">
                  <c:v>33</c:v>
                </c:pt>
                <c:pt idx="127">
                  <c:v>30</c:v>
                </c:pt>
                <c:pt idx="128">
                  <c:v>27.5</c:v>
                </c:pt>
                <c:pt idx="129">
                  <c:v>25.384615384615383</c:v>
                </c:pt>
                <c:pt idx="130">
                  <c:v>23.571428571428573</c:v>
                </c:pt>
                <c:pt idx="131">
                  <c:v>22</c:v>
                </c:pt>
                <c:pt idx="132">
                  <c:v>33</c:v>
                </c:pt>
                <c:pt idx="133">
                  <c:v>30</c:v>
                </c:pt>
                <c:pt idx="134">
                  <c:v>27.5</c:v>
                </c:pt>
                <c:pt idx="135">
                  <c:v>25.384615384615383</c:v>
                </c:pt>
                <c:pt idx="136">
                  <c:v>23.571428571428573</c:v>
                </c:pt>
                <c:pt idx="137">
                  <c:v>22</c:v>
                </c:pt>
                <c:pt idx="138">
                  <c:v>33</c:v>
                </c:pt>
                <c:pt idx="139">
                  <c:v>30</c:v>
                </c:pt>
                <c:pt idx="140">
                  <c:v>27.5</c:v>
                </c:pt>
                <c:pt idx="141">
                  <c:v>25.384615384615383</c:v>
                </c:pt>
                <c:pt idx="142">
                  <c:v>23.571428571428573</c:v>
                </c:pt>
                <c:pt idx="143">
                  <c:v>22</c:v>
                </c:pt>
                <c:pt idx="144">
                  <c:v>36</c:v>
                </c:pt>
                <c:pt idx="145">
                  <c:v>32.727272727272727</c:v>
                </c:pt>
                <c:pt idx="146">
                  <c:v>30</c:v>
                </c:pt>
                <c:pt idx="147">
                  <c:v>27.692307692307693</c:v>
                </c:pt>
                <c:pt idx="148">
                  <c:v>25.714285714285715</c:v>
                </c:pt>
                <c:pt idx="149">
                  <c:v>24</c:v>
                </c:pt>
                <c:pt idx="150">
                  <c:v>36</c:v>
                </c:pt>
                <c:pt idx="151">
                  <c:v>32.727272727272727</c:v>
                </c:pt>
                <c:pt idx="152">
                  <c:v>30</c:v>
                </c:pt>
                <c:pt idx="153">
                  <c:v>27.692307692307693</c:v>
                </c:pt>
                <c:pt idx="154">
                  <c:v>25.714285714285715</c:v>
                </c:pt>
                <c:pt idx="155">
                  <c:v>24</c:v>
                </c:pt>
                <c:pt idx="156">
                  <c:v>36</c:v>
                </c:pt>
                <c:pt idx="157">
                  <c:v>32.727272727272727</c:v>
                </c:pt>
                <c:pt idx="158">
                  <c:v>30</c:v>
                </c:pt>
                <c:pt idx="159">
                  <c:v>27.692307692307693</c:v>
                </c:pt>
                <c:pt idx="160">
                  <c:v>25.714285714285715</c:v>
                </c:pt>
                <c:pt idx="161">
                  <c:v>24</c:v>
                </c:pt>
                <c:pt idx="162">
                  <c:v>36</c:v>
                </c:pt>
                <c:pt idx="163">
                  <c:v>32.727272727272727</c:v>
                </c:pt>
                <c:pt idx="164">
                  <c:v>30</c:v>
                </c:pt>
                <c:pt idx="165">
                  <c:v>27.692307692307693</c:v>
                </c:pt>
                <c:pt idx="166">
                  <c:v>25.714285714285715</c:v>
                </c:pt>
                <c:pt idx="167">
                  <c:v>24</c:v>
                </c:pt>
                <c:pt idx="168">
                  <c:v>39</c:v>
                </c:pt>
                <c:pt idx="169">
                  <c:v>35.454545454545453</c:v>
                </c:pt>
                <c:pt idx="170">
                  <c:v>32.5</c:v>
                </c:pt>
                <c:pt idx="171">
                  <c:v>30</c:v>
                </c:pt>
                <c:pt idx="172">
                  <c:v>27.857142857142858</c:v>
                </c:pt>
                <c:pt idx="173">
                  <c:v>26</c:v>
                </c:pt>
                <c:pt idx="174">
                  <c:v>39</c:v>
                </c:pt>
                <c:pt idx="175">
                  <c:v>35.454545454545453</c:v>
                </c:pt>
                <c:pt idx="176">
                  <c:v>32.5</c:v>
                </c:pt>
                <c:pt idx="177">
                  <c:v>30</c:v>
                </c:pt>
                <c:pt idx="178">
                  <c:v>27.857142857142858</c:v>
                </c:pt>
                <c:pt idx="179">
                  <c:v>26</c:v>
                </c:pt>
                <c:pt idx="180">
                  <c:v>39</c:v>
                </c:pt>
                <c:pt idx="181">
                  <c:v>35.454545454545453</c:v>
                </c:pt>
                <c:pt idx="182">
                  <c:v>32.5</c:v>
                </c:pt>
                <c:pt idx="183">
                  <c:v>30</c:v>
                </c:pt>
                <c:pt idx="184">
                  <c:v>27.857142857142858</c:v>
                </c:pt>
                <c:pt idx="185">
                  <c:v>26</c:v>
                </c:pt>
                <c:pt idx="186">
                  <c:v>39</c:v>
                </c:pt>
                <c:pt idx="187">
                  <c:v>35.454545454545453</c:v>
                </c:pt>
                <c:pt idx="188">
                  <c:v>32.5</c:v>
                </c:pt>
                <c:pt idx="189">
                  <c:v>30</c:v>
                </c:pt>
                <c:pt idx="190">
                  <c:v>27.857142857142858</c:v>
                </c:pt>
                <c:pt idx="191">
                  <c:v>26</c:v>
                </c:pt>
                <c:pt idx="192">
                  <c:v>42</c:v>
                </c:pt>
                <c:pt idx="193">
                  <c:v>38.18181818181818</c:v>
                </c:pt>
                <c:pt idx="194">
                  <c:v>35</c:v>
                </c:pt>
                <c:pt idx="195">
                  <c:v>32.307692307692307</c:v>
                </c:pt>
                <c:pt idx="196">
                  <c:v>30</c:v>
                </c:pt>
                <c:pt idx="197">
                  <c:v>28</c:v>
                </c:pt>
                <c:pt idx="198">
                  <c:v>42</c:v>
                </c:pt>
                <c:pt idx="199">
                  <c:v>38.18181818181818</c:v>
                </c:pt>
                <c:pt idx="200">
                  <c:v>35</c:v>
                </c:pt>
                <c:pt idx="201">
                  <c:v>32.307692307692307</c:v>
                </c:pt>
                <c:pt idx="202">
                  <c:v>30</c:v>
                </c:pt>
                <c:pt idx="203">
                  <c:v>28</c:v>
                </c:pt>
                <c:pt idx="204">
                  <c:v>42</c:v>
                </c:pt>
                <c:pt idx="205">
                  <c:v>38.18181818181818</c:v>
                </c:pt>
                <c:pt idx="206">
                  <c:v>35</c:v>
                </c:pt>
                <c:pt idx="207">
                  <c:v>32.307692307692307</c:v>
                </c:pt>
                <c:pt idx="208">
                  <c:v>30</c:v>
                </c:pt>
                <c:pt idx="209">
                  <c:v>28</c:v>
                </c:pt>
                <c:pt idx="210">
                  <c:v>42</c:v>
                </c:pt>
                <c:pt idx="211">
                  <c:v>38.18181818181818</c:v>
                </c:pt>
                <c:pt idx="212">
                  <c:v>35</c:v>
                </c:pt>
                <c:pt idx="213">
                  <c:v>32.307692307692307</c:v>
                </c:pt>
                <c:pt idx="214">
                  <c:v>30</c:v>
                </c:pt>
                <c:pt idx="215">
                  <c:v>28</c:v>
                </c:pt>
                <c:pt idx="216">
                  <c:v>45</c:v>
                </c:pt>
                <c:pt idx="217">
                  <c:v>40.909090909090907</c:v>
                </c:pt>
                <c:pt idx="218">
                  <c:v>37.5</c:v>
                </c:pt>
                <c:pt idx="219">
                  <c:v>34.615384615384613</c:v>
                </c:pt>
                <c:pt idx="220">
                  <c:v>32.142857142857146</c:v>
                </c:pt>
                <c:pt idx="221">
                  <c:v>30</c:v>
                </c:pt>
                <c:pt idx="222">
                  <c:v>45</c:v>
                </c:pt>
                <c:pt idx="223">
                  <c:v>40.909090909090907</c:v>
                </c:pt>
                <c:pt idx="224">
                  <c:v>37.5</c:v>
                </c:pt>
                <c:pt idx="225">
                  <c:v>34.615384615384613</c:v>
                </c:pt>
                <c:pt idx="226">
                  <c:v>32.142857142857146</c:v>
                </c:pt>
                <c:pt idx="227">
                  <c:v>30</c:v>
                </c:pt>
                <c:pt idx="228">
                  <c:v>45</c:v>
                </c:pt>
                <c:pt idx="229">
                  <c:v>40.909090909090907</c:v>
                </c:pt>
                <c:pt idx="230">
                  <c:v>37.5</c:v>
                </c:pt>
                <c:pt idx="231">
                  <c:v>34.615384615384613</c:v>
                </c:pt>
                <c:pt idx="232">
                  <c:v>32.142857142857146</c:v>
                </c:pt>
                <c:pt idx="233">
                  <c:v>30</c:v>
                </c:pt>
                <c:pt idx="234">
                  <c:v>45</c:v>
                </c:pt>
                <c:pt idx="235">
                  <c:v>40.909090909090907</c:v>
                </c:pt>
                <c:pt idx="236">
                  <c:v>37.5</c:v>
                </c:pt>
                <c:pt idx="237">
                  <c:v>34.615384615384613</c:v>
                </c:pt>
                <c:pt idx="238">
                  <c:v>32.142857142857146</c:v>
                </c:pt>
                <c:pt idx="239">
                  <c:v>30</c:v>
                </c:pt>
                <c:pt idx="240">
                  <c:v>48</c:v>
                </c:pt>
                <c:pt idx="241">
                  <c:v>43.636363636363633</c:v>
                </c:pt>
                <c:pt idx="242">
                  <c:v>40</c:v>
                </c:pt>
                <c:pt idx="243">
                  <c:v>36.92307692307692</c:v>
                </c:pt>
                <c:pt idx="244">
                  <c:v>34.285714285714285</c:v>
                </c:pt>
                <c:pt idx="245">
                  <c:v>32</c:v>
                </c:pt>
                <c:pt idx="246">
                  <c:v>48</c:v>
                </c:pt>
                <c:pt idx="247">
                  <c:v>43.636363636363633</c:v>
                </c:pt>
                <c:pt idx="248">
                  <c:v>40</c:v>
                </c:pt>
                <c:pt idx="249">
                  <c:v>36.92307692307692</c:v>
                </c:pt>
                <c:pt idx="250">
                  <c:v>34.285714285714285</c:v>
                </c:pt>
                <c:pt idx="251">
                  <c:v>32</c:v>
                </c:pt>
                <c:pt idx="252">
                  <c:v>48</c:v>
                </c:pt>
                <c:pt idx="253">
                  <c:v>43.636363636363633</c:v>
                </c:pt>
                <c:pt idx="254">
                  <c:v>40</c:v>
                </c:pt>
                <c:pt idx="255">
                  <c:v>36.92307692307692</c:v>
                </c:pt>
                <c:pt idx="256">
                  <c:v>34.285714285714285</c:v>
                </c:pt>
                <c:pt idx="257">
                  <c:v>32</c:v>
                </c:pt>
                <c:pt idx="258">
                  <c:v>48</c:v>
                </c:pt>
                <c:pt idx="259">
                  <c:v>43.636363636363633</c:v>
                </c:pt>
                <c:pt idx="260">
                  <c:v>40</c:v>
                </c:pt>
                <c:pt idx="261">
                  <c:v>36.92307692307692</c:v>
                </c:pt>
                <c:pt idx="262">
                  <c:v>34.285714285714285</c:v>
                </c:pt>
                <c:pt idx="263">
                  <c:v>32</c:v>
                </c:pt>
                <c:pt idx="264">
                  <c:v>51</c:v>
                </c:pt>
                <c:pt idx="265">
                  <c:v>46.363636363636367</c:v>
                </c:pt>
                <c:pt idx="266">
                  <c:v>42.5</c:v>
                </c:pt>
                <c:pt idx="267">
                  <c:v>39.230769230769234</c:v>
                </c:pt>
                <c:pt idx="268">
                  <c:v>36.428571428571431</c:v>
                </c:pt>
                <c:pt idx="269">
                  <c:v>34</c:v>
                </c:pt>
                <c:pt idx="270">
                  <c:v>51</c:v>
                </c:pt>
                <c:pt idx="271">
                  <c:v>46.363636363636367</c:v>
                </c:pt>
                <c:pt idx="272">
                  <c:v>42.5</c:v>
                </c:pt>
                <c:pt idx="273">
                  <c:v>39.230769230769234</c:v>
                </c:pt>
                <c:pt idx="274">
                  <c:v>36.428571428571431</c:v>
                </c:pt>
                <c:pt idx="275">
                  <c:v>34</c:v>
                </c:pt>
                <c:pt idx="276">
                  <c:v>51</c:v>
                </c:pt>
                <c:pt idx="277">
                  <c:v>46.363636363636367</c:v>
                </c:pt>
                <c:pt idx="278">
                  <c:v>42.5</c:v>
                </c:pt>
                <c:pt idx="279">
                  <c:v>39.230769230769234</c:v>
                </c:pt>
                <c:pt idx="280">
                  <c:v>36.428571428571431</c:v>
                </c:pt>
                <c:pt idx="281">
                  <c:v>34</c:v>
                </c:pt>
                <c:pt idx="282">
                  <c:v>51</c:v>
                </c:pt>
                <c:pt idx="283">
                  <c:v>46.363636363636367</c:v>
                </c:pt>
                <c:pt idx="284">
                  <c:v>42.5</c:v>
                </c:pt>
                <c:pt idx="285">
                  <c:v>39.230769230769234</c:v>
                </c:pt>
                <c:pt idx="286">
                  <c:v>36.428571428571431</c:v>
                </c:pt>
                <c:pt idx="287">
                  <c:v>34</c:v>
                </c:pt>
                <c:pt idx="288">
                  <c:v>54</c:v>
                </c:pt>
                <c:pt idx="289">
                  <c:v>49.090909090909093</c:v>
                </c:pt>
                <c:pt idx="290">
                  <c:v>45</c:v>
                </c:pt>
                <c:pt idx="291">
                  <c:v>41.53846153846154</c:v>
                </c:pt>
                <c:pt idx="292">
                  <c:v>38.571428571428569</c:v>
                </c:pt>
                <c:pt idx="293">
                  <c:v>36</c:v>
                </c:pt>
                <c:pt idx="294">
                  <c:v>54</c:v>
                </c:pt>
                <c:pt idx="295">
                  <c:v>49.090909090909093</c:v>
                </c:pt>
                <c:pt idx="296">
                  <c:v>45</c:v>
                </c:pt>
                <c:pt idx="297">
                  <c:v>41.53846153846154</c:v>
                </c:pt>
                <c:pt idx="298">
                  <c:v>38.571428571428569</c:v>
                </c:pt>
                <c:pt idx="299">
                  <c:v>36</c:v>
                </c:pt>
                <c:pt idx="300">
                  <c:v>54</c:v>
                </c:pt>
                <c:pt idx="301">
                  <c:v>49.090909090909093</c:v>
                </c:pt>
                <c:pt idx="302">
                  <c:v>45</c:v>
                </c:pt>
                <c:pt idx="303">
                  <c:v>41.53846153846154</c:v>
                </c:pt>
                <c:pt idx="304">
                  <c:v>38.571428571428569</c:v>
                </c:pt>
                <c:pt idx="305">
                  <c:v>36</c:v>
                </c:pt>
                <c:pt idx="306">
                  <c:v>54</c:v>
                </c:pt>
                <c:pt idx="307">
                  <c:v>49.090909090909093</c:v>
                </c:pt>
                <c:pt idx="308">
                  <c:v>45</c:v>
                </c:pt>
                <c:pt idx="309">
                  <c:v>41.53846153846154</c:v>
                </c:pt>
                <c:pt idx="310">
                  <c:v>38.571428571428569</c:v>
                </c:pt>
                <c:pt idx="311">
                  <c:v>36</c:v>
                </c:pt>
                <c:pt idx="312">
                  <c:v>57</c:v>
                </c:pt>
                <c:pt idx="313">
                  <c:v>51.81818181818182</c:v>
                </c:pt>
                <c:pt idx="314">
                  <c:v>47.5</c:v>
                </c:pt>
                <c:pt idx="315">
                  <c:v>43.846153846153847</c:v>
                </c:pt>
                <c:pt idx="316">
                  <c:v>40.714285714285715</c:v>
                </c:pt>
                <c:pt idx="317">
                  <c:v>38</c:v>
                </c:pt>
                <c:pt idx="318">
                  <c:v>57</c:v>
                </c:pt>
                <c:pt idx="319">
                  <c:v>51.81818181818182</c:v>
                </c:pt>
                <c:pt idx="320">
                  <c:v>47.5</c:v>
                </c:pt>
                <c:pt idx="321">
                  <c:v>43.846153846153847</c:v>
                </c:pt>
                <c:pt idx="322">
                  <c:v>40.714285714285715</c:v>
                </c:pt>
                <c:pt idx="323">
                  <c:v>38</c:v>
                </c:pt>
                <c:pt idx="324">
                  <c:v>57</c:v>
                </c:pt>
                <c:pt idx="325">
                  <c:v>51.81818181818182</c:v>
                </c:pt>
                <c:pt idx="326">
                  <c:v>47.5</c:v>
                </c:pt>
                <c:pt idx="327">
                  <c:v>43.846153846153847</c:v>
                </c:pt>
                <c:pt idx="328">
                  <c:v>40.714285714285715</c:v>
                </c:pt>
                <c:pt idx="329">
                  <c:v>38</c:v>
                </c:pt>
                <c:pt idx="330">
                  <c:v>57</c:v>
                </c:pt>
                <c:pt idx="331">
                  <c:v>51.81818181818182</c:v>
                </c:pt>
                <c:pt idx="332">
                  <c:v>47.5</c:v>
                </c:pt>
                <c:pt idx="333">
                  <c:v>43.846153846153847</c:v>
                </c:pt>
                <c:pt idx="334">
                  <c:v>40.714285714285715</c:v>
                </c:pt>
                <c:pt idx="335">
                  <c:v>38</c:v>
                </c:pt>
                <c:pt idx="336">
                  <c:v>60</c:v>
                </c:pt>
                <c:pt idx="337">
                  <c:v>54.545454545454547</c:v>
                </c:pt>
                <c:pt idx="338">
                  <c:v>50</c:v>
                </c:pt>
                <c:pt idx="339">
                  <c:v>46.153846153846153</c:v>
                </c:pt>
                <c:pt idx="340">
                  <c:v>42.857142857142854</c:v>
                </c:pt>
                <c:pt idx="341">
                  <c:v>40</c:v>
                </c:pt>
                <c:pt idx="342">
                  <c:v>60</c:v>
                </c:pt>
                <c:pt idx="343">
                  <c:v>54.545454545454547</c:v>
                </c:pt>
                <c:pt idx="344">
                  <c:v>50</c:v>
                </c:pt>
                <c:pt idx="345">
                  <c:v>46.153846153846153</c:v>
                </c:pt>
                <c:pt idx="346">
                  <c:v>42.857142857142854</c:v>
                </c:pt>
                <c:pt idx="347">
                  <c:v>40</c:v>
                </c:pt>
                <c:pt idx="348">
                  <c:v>60</c:v>
                </c:pt>
                <c:pt idx="349">
                  <c:v>54.545454545454547</c:v>
                </c:pt>
                <c:pt idx="350">
                  <c:v>50</c:v>
                </c:pt>
                <c:pt idx="351">
                  <c:v>46.153846153846153</c:v>
                </c:pt>
                <c:pt idx="352">
                  <c:v>42.857142857142854</c:v>
                </c:pt>
                <c:pt idx="353">
                  <c:v>40</c:v>
                </c:pt>
                <c:pt idx="354">
                  <c:v>60</c:v>
                </c:pt>
                <c:pt idx="355">
                  <c:v>54.545454545454547</c:v>
                </c:pt>
                <c:pt idx="356">
                  <c:v>50</c:v>
                </c:pt>
                <c:pt idx="357">
                  <c:v>46.153846153846153</c:v>
                </c:pt>
                <c:pt idx="358">
                  <c:v>42.857142857142854</c:v>
                </c:pt>
                <c:pt idx="359">
                  <c:v>40</c:v>
                </c:pt>
                <c:pt idx="360">
                  <c:v>63</c:v>
                </c:pt>
                <c:pt idx="361">
                  <c:v>57.272727272727273</c:v>
                </c:pt>
                <c:pt idx="362">
                  <c:v>52.5</c:v>
                </c:pt>
                <c:pt idx="363">
                  <c:v>48.46153846153846</c:v>
                </c:pt>
                <c:pt idx="364">
                  <c:v>45</c:v>
                </c:pt>
                <c:pt idx="365">
                  <c:v>42</c:v>
                </c:pt>
                <c:pt idx="366">
                  <c:v>63</c:v>
                </c:pt>
                <c:pt idx="367">
                  <c:v>57.272727272727273</c:v>
                </c:pt>
                <c:pt idx="368">
                  <c:v>52.5</c:v>
                </c:pt>
                <c:pt idx="369">
                  <c:v>48.46153846153846</c:v>
                </c:pt>
                <c:pt idx="370">
                  <c:v>45</c:v>
                </c:pt>
                <c:pt idx="371">
                  <c:v>42</c:v>
                </c:pt>
                <c:pt idx="372">
                  <c:v>63</c:v>
                </c:pt>
                <c:pt idx="373">
                  <c:v>57.272727272727273</c:v>
                </c:pt>
                <c:pt idx="374">
                  <c:v>52.5</c:v>
                </c:pt>
                <c:pt idx="375">
                  <c:v>48.46153846153846</c:v>
                </c:pt>
                <c:pt idx="376">
                  <c:v>45</c:v>
                </c:pt>
                <c:pt idx="377">
                  <c:v>42</c:v>
                </c:pt>
                <c:pt idx="378">
                  <c:v>63</c:v>
                </c:pt>
                <c:pt idx="379">
                  <c:v>57.272727272727273</c:v>
                </c:pt>
                <c:pt idx="380">
                  <c:v>52.5</c:v>
                </c:pt>
                <c:pt idx="381">
                  <c:v>48.46153846153846</c:v>
                </c:pt>
                <c:pt idx="382">
                  <c:v>45</c:v>
                </c:pt>
                <c:pt idx="383">
                  <c:v>42</c:v>
                </c:pt>
                <c:pt idx="384">
                  <c:v>66</c:v>
                </c:pt>
                <c:pt idx="385">
                  <c:v>60</c:v>
                </c:pt>
                <c:pt idx="386">
                  <c:v>55</c:v>
                </c:pt>
                <c:pt idx="387">
                  <c:v>50.769230769230766</c:v>
                </c:pt>
                <c:pt idx="388">
                  <c:v>47.142857142857146</c:v>
                </c:pt>
                <c:pt idx="389">
                  <c:v>44</c:v>
                </c:pt>
                <c:pt idx="390">
                  <c:v>66</c:v>
                </c:pt>
                <c:pt idx="391">
                  <c:v>60</c:v>
                </c:pt>
                <c:pt idx="392">
                  <c:v>55</c:v>
                </c:pt>
                <c:pt idx="393">
                  <c:v>50.769230769230766</c:v>
                </c:pt>
                <c:pt idx="394">
                  <c:v>47.142857142857146</c:v>
                </c:pt>
                <c:pt idx="395">
                  <c:v>44</c:v>
                </c:pt>
                <c:pt idx="396">
                  <c:v>66</c:v>
                </c:pt>
                <c:pt idx="397">
                  <c:v>60</c:v>
                </c:pt>
                <c:pt idx="398">
                  <c:v>55</c:v>
                </c:pt>
                <c:pt idx="399">
                  <c:v>50.769230769230766</c:v>
                </c:pt>
                <c:pt idx="400">
                  <c:v>47.142857142857146</c:v>
                </c:pt>
                <c:pt idx="401">
                  <c:v>44</c:v>
                </c:pt>
                <c:pt idx="402">
                  <c:v>66</c:v>
                </c:pt>
                <c:pt idx="403">
                  <c:v>60</c:v>
                </c:pt>
                <c:pt idx="404">
                  <c:v>55</c:v>
                </c:pt>
                <c:pt idx="405">
                  <c:v>50.769230769230766</c:v>
                </c:pt>
                <c:pt idx="406">
                  <c:v>47.142857142857146</c:v>
                </c:pt>
                <c:pt idx="407">
                  <c:v>44</c:v>
                </c:pt>
                <c:pt idx="408">
                  <c:v>69</c:v>
                </c:pt>
                <c:pt idx="409">
                  <c:v>62.727272727272727</c:v>
                </c:pt>
                <c:pt idx="410">
                  <c:v>57.5</c:v>
                </c:pt>
                <c:pt idx="411">
                  <c:v>53.07692307692308</c:v>
                </c:pt>
                <c:pt idx="412">
                  <c:v>49.285714285714285</c:v>
                </c:pt>
                <c:pt idx="413">
                  <c:v>46</c:v>
                </c:pt>
                <c:pt idx="414">
                  <c:v>69</c:v>
                </c:pt>
                <c:pt idx="415">
                  <c:v>62.727272727272727</c:v>
                </c:pt>
                <c:pt idx="416">
                  <c:v>57.5</c:v>
                </c:pt>
                <c:pt idx="417">
                  <c:v>53.07692307692308</c:v>
                </c:pt>
                <c:pt idx="418">
                  <c:v>49.285714285714285</c:v>
                </c:pt>
                <c:pt idx="419">
                  <c:v>46</c:v>
                </c:pt>
                <c:pt idx="420">
                  <c:v>69</c:v>
                </c:pt>
                <c:pt idx="421">
                  <c:v>62.727272727272727</c:v>
                </c:pt>
                <c:pt idx="422">
                  <c:v>57.5</c:v>
                </c:pt>
                <c:pt idx="423">
                  <c:v>53.07692307692308</c:v>
                </c:pt>
                <c:pt idx="424">
                  <c:v>49.285714285714285</c:v>
                </c:pt>
                <c:pt idx="425">
                  <c:v>46</c:v>
                </c:pt>
                <c:pt idx="426">
                  <c:v>69</c:v>
                </c:pt>
                <c:pt idx="427">
                  <c:v>62.727272727272727</c:v>
                </c:pt>
                <c:pt idx="428">
                  <c:v>57.5</c:v>
                </c:pt>
                <c:pt idx="429">
                  <c:v>53.07692307692308</c:v>
                </c:pt>
                <c:pt idx="430">
                  <c:v>49.285714285714285</c:v>
                </c:pt>
                <c:pt idx="431">
                  <c:v>46</c:v>
                </c:pt>
                <c:pt idx="432">
                  <c:v>72</c:v>
                </c:pt>
                <c:pt idx="433">
                  <c:v>65.454545454545453</c:v>
                </c:pt>
                <c:pt idx="434">
                  <c:v>60</c:v>
                </c:pt>
                <c:pt idx="435">
                  <c:v>55.384615384615387</c:v>
                </c:pt>
                <c:pt idx="436">
                  <c:v>51.428571428571431</c:v>
                </c:pt>
                <c:pt idx="437">
                  <c:v>48</c:v>
                </c:pt>
                <c:pt idx="438">
                  <c:v>72</c:v>
                </c:pt>
                <c:pt idx="439">
                  <c:v>65.454545454545453</c:v>
                </c:pt>
                <c:pt idx="440">
                  <c:v>60</c:v>
                </c:pt>
                <c:pt idx="441">
                  <c:v>55.384615384615387</c:v>
                </c:pt>
                <c:pt idx="442">
                  <c:v>51.428571428571431</c:v>
                </c:pt>
                <c:pt idx="443">
                  <c:v>48</c:v>
                </c:pt>
                <c:pt idx="444">
                  <c:v>72</c:v>
                </c:pt>
                <c:pt idx="445">
                  <c:v>65.454545454545453</c:v>
                </c:pt>
                <c:pt idx="446">
                  <c:v>60</c:v>
                </c:pt>
                <c:pt idx="447">
                  <c:v>55.384615384615387</c:v>
                </c:pt>
                <c:pt idx="448">
                  <c:v>51.428571428571431</c:v>
                </c:pt>
                <c:pt idx="449">
                  <c:v>48</c:v>
                </c:pt>
                <c:pt idx="450">
                  <c:v>72</c:v>
                </c:pt>
                <c:pt idx="451">
                  <c:v>65.454545454545453</c:v>
                </c:pt>
                <c:pt idx="452">
                  <c:v>60</c:v>
                </c:pt>
                <c:pt idx="453">
                  <c:v>55.384615384615387</c:v>
                </c:pt>
                <c:pt idx="454">
                  <c:v>51.428571428571431</c:v>
                </c:pt>
                <c:pt idx="455">
                  <c:v>48</c:v>
                </c:pt>
                <c:pt idx="456">
                  <c:v>75</c:v>
                </c:pt>
                <c:pt idx="457">
                  <c:v>68.181818181818187</c:v>
                </c:pt>
                <c:pt idx="458">
                  <c:v>62.5</c:v>
                </c:pt>
                <c:pt idx="459">
                  <c:v>57.692307692307693</c:v>
                </c:pt>
                <c:pt idx="460">
                  <c:v>53.571428571428569</c:v>
                </c:pt>
                <c:pt idx="461">
                  <c:v>50</c:v>
                </c:pt>
                <c:pt idx="462">
                  <c:v>75</c:v>
                </c:pt>
                <c:pt idx="463">
                  <c:v>68.181818181818187</c:v>
                </c:pt>
                <c:pt idx="464">
                  <c:v>62.5</c:v>
                </c:pt>
                <c:pt idx="465">
                  <c:v>57.692307692307693</c:v>
                </c:pt>
                <c:pt idx="466">
                  <c:v>53.571428571428569</c:v>
                </c:pt>
                <c:pt idx="467">
                  <c:v>50</c:v>
                </c:pt>
                <c:pt idx="468">
                  <c:v>75</c:v>
                </c:pt>
                <c:pt idx="469">
                  <c:v>68.181818181818187</c:v>
                </c:pt>
                <c:pt idx="470">
                  <c:v>62.5</c:v>
                </c:pt>
                <c:pt idx="471">
                  <c:v>57.692307692307693</c:v>
                </c:pt>
                <c:pt idx="472">
                  <c:v>53.571428571428569</c:v>
                </c:pt>
                <c:pt idx="473">
                  <c:v>50</c:v>
                </c:pt>
                <c:pt idx="474">
                  <c:v>75</c:v>
                </c:pt>
                <c:pt idx="475">
                  <c:v>68.181818181818187</c:v>
                </c:pt>
                <c:pt idx="476">
                  <c:v>62.5</c:v>
                </c:pt>
                <c:pt idx="477">
                  <c:v>57.692307692307693</c:v>
                </c:pt>
                <c:pt idx="478">
                  <c:v>53.571428571428569</c:v>
                </c:pt>
                <c:pt idx="479">
                  <c:v>50</c:v>
                </c:pt>
                <c:pt idx="480">
                  <c:v>78</c:v>
                </c:pt>
                <c:pt idx="481">
                  <c:v>70.909090909090907</c:v>
                </c:pt>
                <c:pt idx="482">
                  <c:v>65</c:v>
                </c:pt>
                <c:pt idx="483">
                  <c:v>60</c:v>
                </c:pt>
                <c:pt idx="484">
                  <c:v>55.714285714285715</c:v>
                </c:pt>
                <c:pt idx="485">
                  <c:v>52</c:v>
                </c:pt>
                <c:pt idx="486">
                  <c:v>78</c:v>
                </c:pt>
                <c:pt idx="487">
                  <c:v>70.909090909090907</c:v>
                </c:pt>
                <c:pt idx="488">
                  <c:v>65</c:v>
                </c:pt>
                <c:pt idx="489">
                  <c:v>60</c:v>
                </c:pt>
                <c:pt idx="490">
                  <c:v>55.714285714285715</c:v>
                </c:pt>
                <c:pt idx="491">
                  <c:v>52</c:v>
                </c:pt>
                <c:pt idx="492">
                  <c:v>78</c:v>
                </c:pt>
                <c:pt idx="493">
                  <c:v>70.909090909090907</c:v>
                </c:pt>
                <c:pt idx="494">
                  <c:v>65</c:v>
                </c:pt>
                <c:pt idx="495">
                  <c:v>60</c:v>
                </c:pt>
                <c:pt idx="496">
                  <c:v>55.714285714285715</c:v>
                </c:pt>
                <c:pt idx="497">
                  <c:v>52</c:v>
                </c:pt>
                <c:pt idx="498">
                  <c:v>78</c:v>
                </c:pt>
                <c:pt idx="499">
                  <c:v>70.909090909090907</c:v>
                </c:pt>
                <c:pt idx="500">
                  <c:v>65</c:v>
                </c:pt>
                <c:pt idx="501">
                  <c:v>60</c:v>
                </c:pt>
                <c:pt idx="502">
                  <c:v>55.714285714285715</c:v>
                </c:pt>
                <c:pt idx="503">
                  <c:v>52</c:v>
                </c:pt>
              </c:numCache>
            </c:numRef>
          </c:xVal>
          <c:yVal>
            <c:numRef>
              <c:f>CSR_VBM!$M$2:$M$505</c:f>
              <c:numCache>
                <c:formatCode>0.00</c:formatCode>
                <c:ptCount val="504"/>
                <c:pt idx="0">
                  <c:v>-160974.53261724368</c:v>
                </c:pt>
                <c:pt idx="1">
                  <c:v>-146340.48419749425</c:v>
                </c:pt>
                <c:pt idx="2">
                  <c:v>-134145.44384770305</c:v>
                </c:pt>
                <c:pt idx="3">
                  <c:v>-123826.56355172591</c:v>
                </c:pt>
                <c:pt idx="4">
                  <c:v>-114981.80901231692</c:v>
                </c:pt>
                <c:pt idx="5">
                  <c:v>-107316.35507816245</c:v>
                </c:pt>
                <c:pt idx="6">
                  <c:v>-173357.18897241625</c:v>
                </c:pt>
                <c:pt idx="7">
                  <c:v>-157597.44452037843</c:v>
                </c:pt>
                <c:pt idx="8">
                  <c:v>-144464.32414368022</c:v>
                </c:pt>
                <c:pt idx="9">
                  <c:v>-133351.68382493558</c:v>
                </c:pt>
                <c:pt idx="10">
                  <c:v>-123826.56355172589</c:v>
                </c:pt>
                <c:pt idx="11">
                  <c:v>-115571.45931494416</c:v>
                </c:pt>
                <c:pt idx="12">
                  <c:v>-185739.84532758885</c:v>
                </c:pt>
                <c:pt idx="13">
                  <c:v>-168854.4048432626</c:v>
                </c:pt>
                <c:pt idx="14">
                  <c:v>-154783.20443965736</c:v>
                </c:pt>
                <c:pt idx="15">
                  <c:v>-142876.80409814528</c:v>
                </c:pt>
                <c:pt idx="16">
                  <c:v>-132671.31809113489</c:v>
                </c:pt>
                <c:pt idx="17">
                  <c:v>-123826.56355172589</c:v>
                </c:pt>
                <c:pt idx="18">
                  <c:v>-198122.50168276147</c:v>
                </c:pt>
                <c:pt idx="19">
                  <c:v>-180111.3651661468</c:v>
                </c:pt>
                <c:pt idx="20">
                  <c:v>-165102.08473563456</c:v>
                </c:pt>
                <c:pt idx="21">
                  <c:v>-152401.92437135498</c:v>
                </c:pt>
                <c:pt idx="22">
                  <c:v>-141516.07263054393</c:v>
                </c:pt>
                <c:pt idx="23">
                  <c:v>-132081.66778850765</c:v>
                </c:pt>
                <c:pt idx="24">
                  <c:v>-266240.82613773446</c:v>
                </c:pt>
                <c:pt idx="25">
                  <c:v>-242037.11467066768</c:v>
                </c:pt>
                <c:pt idx="26">
                  <c:v>-221867.35511477874</c:v>
                </c:pt>
                <c:pt idx="27">
                  <c:v>-204800.63549056495</c:v>
                </c:pt>
                <c:pt idx="28">
                  <c:v>-190172.01866981032</c:v>
                </c:pt>
                <c:pt idx="29">
                  <c:v>-177493.88409182298</c:v>
                </c:pt>
                <c:pt idx="30">
                  <c:v>-286720.88968679094</c:v>
                </c:pt>
                <c:pt idx="31">
                  <c:v>-260655.35426071903</c:v>
                </c:pt>
                <c:pt idx="32">
                  <c:v>-238934.07473899244</c:v>
                </c:pt>
                <c:pt idx="33">
                  <c:v>-220554.5305283007</c:v>
                </c:pt>
                <c:pt idx="34">
                  <c:v>-204800.63549056495</c:v>
                </c:pt>
                <c:pt idx="35">
                  <c:v>-191147.25979119397</c:v>
                </c:pt>
                <c:pt idx="36">
                  <c:v>-307200.95323584741</c:v>
                </c:pt>
                <c:pt idx="37">
                  <c:v>-279273.59385077038</c:v>
                </c:pt>
                <c:pt idx="38">
                  <c:v>-256000.79436320617</c:v>
                </c:pt>
                <c:pt idx="39">
                  <c:v>-236308.42556603646</c:v>
                </c:pt>
                <c:pt idx="40">
                  <c:v>-219429.25231131958</c:v>
                </c:pt>
                <c:pt idx="41">
                  <c:v>-204800.63549056495</c:v>
                </c:pt>
                <c:pt idx="42">
                  <c:v>-327681.016784904</c:v>
                </c:pt>
                <c:pt idx="43">
                  <c:v>-297891.83344082185</c:v>
                </c:pt>
                <c:pt idx="44">
                  <c:v>-273067.51398742001</c:v>
                </c:pt>
                <c:pt idx="45">
                  <c:v>-252062.3206037723</c:v>
                </c:pt>
                <c:pt idx="46">
                  <c:v>-234057.86913207432</c:v>
                </c:pt>
                <c:pt idx="47">
                  <c:v>-218454.01118993602</c:v>
                </c:pt>
                <c:pt idx="48">
                  <c:v>-412673.62417926342</c:v>
                </c:pt>
                <c:pt idx="49">
                  <c:v>-375157.84016296675</c:v>
                </c:pt>
                <c:pt idx="50">
                  <c:v>-343894.68681605288</c:v>
                </c:pt>
                <c:pt idx="51">
                  <c:v>-317441.24936866417</c:v>
                </c:pt>
                <c:pt idx="52">
                  <c:v>-294766.87441375962</c:v>
                </c:pt>
                <c:pt idx="53">
                  <c:v>-275115.74945284228</c:v>
                </c:pt>
                <c:pt idx="54">
                  <c:v>-444417.74911612988</c:v>
                </c:pt>
                <c:pt idx="55">
                  <c:v>-404016.13556011807</c:v>
                </c:pt>
                <c:pt idx="56">
                  <c:v>-370348.1242634416</c:v>
                </c:pt>
                <c:pt idx="57">
                  <c:v>-341859.80701240757</c:v>
                </c:pt>
                <c:pt idx="58">
                  <c:v>-317441.24936866417</c:v>
                </c:pt>
                <c:pt idx="59">
                  <c:v>-296278.49941075325</c:v>
                </c:pt>
                <c:pt idx="60">
                  <c:v>-476161.87405299628</c:v>
                </c:pt>
                <c:pt idx="61">
                  <c:v>-432874.43095726933</c:v>
                </c:pt>
                <c:pt idx="62">
                  <c:v>-396801.56171083031</c:v>
                </c:pt>
                <c:pt idx="63">
                  <c:v>-366278.36465615104</c:v>
                </c:pt>
                <c:pt idx="64">
                  <c:v>-340115.62432356877</c:v>
                </c:pt>
                <c:pt idx="65">
                  <c:v>-317441.24936866423</c:v>
                </c:pt>
                <c:pt idx="66">
                  <c:v>-507905.9989898628</c:v>
                </c:pt>
                <c:pt idx="67">
                  <c:v>-461732.72635442071</c:v>
                </c:pt>
                <c:pt idx="68">
                  <c:v>-423254.99915821897</c:v>
                </c:pt>
                <c:pt idx="69">
                  <c:v>-390696.92229989445</c:v>
                </c:pt>
                <c:pt idx="70">
                  <c:v>-362789.99927847343</c:v>
                </c:pt>
                <c:pt idx="71">
                  <c:v>-338603.9993265752</c:v>
                </c:pt>
                <c:pt idx="72">
                  <c:v>-608406.78380051767</c:v>
                </c:pt>
                <c:pt idx="73">
                  <c:v>-553097.07618228882</c:v>
                </c:pt>
                <c:pt idx="74">
                  <c:v>-507005.65316709806</c:v>
                </c:pt>
                <c:pt idx="75">
                  <c:v>-468005.21830809052</c:v>
                </c:pt>
                <c:pt idx="76">
                  <c:v>-434576.27414322691</c:v>
                </c:pt>
                <c:pt idx="77">
                  <c:v>-405604.52253367845</c:v>
                </c:pt>
                <c:pt idx="78">
                  <c:v>-655207.30563132674</c:v>
                </c:pt>
                <c:pt idx="79">
                  <c:v>-595643.00511938788</c:v>
                </c:pt>
                <c:pt idx="80">
                  <c:v>-546006.08802610554</c:v>
                </c:pt>
                <c:pt idx="81">
                  <c:v>-504005.61971640517</c:v>
                </c:pt>
                <c:pt idx="82">
                  <c:v>-468005.21830809047</c:v>
                </c:pt>
                <c:pt idx="83">
                  <c:v>-436804.87042088452</c:v>
                </c:pt>
                <c:pt idx="84">
                  <c:v>-702007.8274621357</c:v>
                </c:pt>
                <c:pt idx="85">
                  <c:v>-638188.93405648693</c:v>
                </c:pt>
                <c:pt idx="86">
                  <c:v>-585006.52288511302</c:v>
                </c:pt>
                <c:pt idx="87">
                  <c:v>-540006.02112471976</c:v>
                </c:pt>
                <c:pt idx="88">
                  <c:v>-501434.16247295402</c:v>
                </c:pt>
                <c:pt idx="89">
                  <c:v>-468005.21830809047</c:v>
                </c:pt>
                <c:pt idx="90">
                  <c:v>-748808.34929294488</c:v>
                </c:pt>
                <c:pt idx="91">
                  <c:v>-680734.86299358634</c:v>
                </c:pt>
                <c:pt idx="92">
                  <c:v>-624006.95774412074</c:v>
                </c:pt>
                <c:pt idx="93">
                  <c:v>-576006.42253303458</c:v>
                </c:pt>
                <c:pt idx="94">
                  <c:v>-534863.10663781781</c:v>
                </c:pt>
                <c:pt idx="95">
                  <c:v>-499205.56619529659</c:v>
                </c:pt>
                <c:pt idx="96">
                  <c:v>-861880.21284599626</c:v>
                </c:pt>
                <c:pt idx="97">
                  <c:v>-783527.46622363303</c:v>
                </c:pt>
                <c:pt idx="98">
                  <c:v>-718233.51070499688</c:v>
                </c:pt>
                <c:pt idx="99">
                  <c:v>-662984.77911230491</c:v>
                </c:pt>
                <c:pt idx="100">
                  <c:v>-615628.72346142586</c:v>
                </c:pt>
                <c:pt idx="101">
                  <c:v>-574586.8085639975</c:v>
                </c:pt>
                <c:pt idx="102">
                  <c:v>-928178.69075722701</c:v>
                </c:pt>
                <c:pt idx="103">
                  <c:v>-843798.80977929733</c:v>
                </c:pt>
                <c:pt idx="104">
                  <c:v>-773482.2422976892</c:v>
                </c:pt>
                <c:pt idx="105">
                  <c:v>-713983.60827478999</c:v>
                </c:pt>
                <c:pt idx="106">
                  <c:v>-662984.77911230491</c:v>
                </c:pt>
                <c:pt idx="107">
                  <c:v>-618785.79383815126</c:v>
                </c:pt>
                <c:pt idx="108">
                  <c:v>-994477.16866845696</c:v>
                </c:pt>
                <c:pt idx="109">
                  <c:v>-904070.15333496092</c:v>
                </c:pt>
                <c:pt idx="110">
                  <c:v>-828730.97389038093</c:v>
                </c:pt>
                <c:pt idx="111">
                  <c:v>-764982.43743727461</c:v>
                </c:pt>
                <c:pt idx="112">
                  <c:v>-710340.83476318361</c:v>
                </c:pt>
                <c:pt idx="113">
                  <c:v>-662984.77911230468</c:v>
                </c:pt>
                <c:pt idx="114">
                  <c:v>-1060775.6465796882</c:v>
                </c:pt>
                <c:pt idx="115">
                  <c:v>-964341.49689062545</c:v>
                </c:pt>
                <c:pt idx="116">
                  <c:v>-883979.70548307325</c:v>
                </c:pt>
                <c:pt idx="117">
                  <c:v>-815981.26659975993</c:v>
                </c:pt>
                <c:pt idx="118">
                  <c:v>-757696.89041406277</c:v>
                </c:pt>
                <c:pt idx="119">
                  <c:v>-707183.76438645867</c:v>
                </c:pt>
                <c:pt idx="120">
                  <c:v>-1181728.3599048734</c:v>
                </c:pt>
                <c:pt idx="121">
                  <c:v>-1074298.5090044304</c:v>
                </c:pt>
                <c:pt idx="122">
                  <c:v>-984773.6332540611</c:v>
                </c:pt>
                <c:pt idx="123">
                  <c:v>-909021.81531144108</c:v>
                </c:pt>
                <c:pt idx="124">
                  <c:v>-844091.68564633827</c:v>
                </c:pt>
                <c:pt idx="125">
                  <c:v>-787818.90660324891</c:v>
                </c:pt>
                <c:pt idx="126">
                  <c:v>-1272630.5414360177</c:v>
                </c:pt>
                <c:pt idx="127">
                  <c:v>-1156936.8558509252</c:v>
                </c:pt>
                <c:pt idx="128">
                  <c:v>-1060525.4511966815</c:v>
                </c:pt>
                <c:pt idx="129">
                  <c:v>-978946.5703353982</c:v>
                </c:pt>
                <c:pt idx="130">
                  <c:v>-909021.8153114412</c:v>
                </c:pt>
                <c:pt idx="131">
                  <c:v>-848420.36095734523</c:v>
                </c:pt>
                <c:pt idx="132">
                  <c:v>-1363532.7229671618</c:v>
                </c:pt>
                <c:pt idx="133">
                  <c:v>-1239575.2026974198</c:v>
                </c:pt>
                <c:pt idx="134">
                  <c:v>-1136277.2691393015</c:v>
                </c:pt>
                <c:pt idx="135">
                  <c:v>-1048871.3253593552</c:v>
                </c:pt>
                <c:pt idx="136">
                  <c:v>-973951.94497654424</c:v>
                </c:pt>
                <c:pt idx="137">
                  <c:v>-909021.8153114412</c:v>
                </c:pt>
                <c:pt idx="138">
                  <c:v>-1454434.9044983061</c:v>
                </c:pt>
                <c:pt idx="139">
                  <c:v>-1322213.5495439149</c:v>
                </c:pt>
                <c:pt idx="140">
                  <c:v>-1212029.087081922</c:v>
                </c:pt>
                <c:pt idx="141">
                  <c:v>-1118796.0803833124</c:v>
                </c:pt>
                <c:pt idx="142">
                  <c:v>-1038882.0746416473</c:v>
                </c:pt>
                <c:pt idx="143">
                  <c:v>-969623.26966553752</c:v>
                </c:pt>
                <c:pt idx="144">
                  <c:v>-1576651.852662564</c:v>
                </c:pt>
                <c:pt idx="145">
                  <c:v>-1433319.8660568765</c:v>
                </c:pt>
                <c:pt idx="146">
                  <c:v>-1313876.5438854701</c:v>
                </c:pt>
                <c:pt idx="147">
                  <c:v>-1212809.1174327417</c:v>
                </c:pt>
                <c:pt idx="148">
                  <c:v>-1126179.8947589744</c:v>
                </c:pt>
                <c:pt idx="149">
                  <c:v>-1051101.235108376</c:v>
                </c:pt>
                <c:pt idx="150">
                  <c:v>-1697932.7644058387</c:v>
                </c:pt>
                <c:pt idx="151">
                  <c:v>-1543575.2403689439</c:v>
                </c:pt>
                <c:pt idx="152">
                  <c:v>-1414943.9703381986</c:v>
                </c:pt>
                <c:pt idx="153">
                  <c:v>-1306102.1264660296</c:v>
                </c:pt>
                <c:pt idx="154">
                  <c:v>-1212809.1174327417</c:v>
                </c:pt>
                <c:pt idx="155">
                  <c:v>-1131955.176270559</c:v>
                </c:pt>
                <c:pt idx="156">
                  <c:v>-1819213.6761491124</c:v>
                </c:pt>
                <c:pt idx="157">
                  <c:v>-1653830.6146810113</c:v>
                </c:pt>
                <c:pt idx="158">
                  <c:v>-1516011.396790927</c:v>
                </c:pt>
                <c:pt idx="159">
                  <c:v>-1399395.1354993172</c:v>
                </c:pt>
                <c:pt idx="160">
                  <c:v>-1299438.3401065089</c:v>
                </c:pt>
                <c:pt idx="161">
                  <c:v>-1212809.1174327417</c:v>
                </c:pt>
                <c:pt idx="162">
                  <c:v>-1940494.5878923868</c:v>
                </c:pt>
                <c:pt idx="163">
                  <c:v>-1764085.9889930789</c:v>
                </c:pt>
                <c:pt idx="164">
                  <c:v>-1617078.8232436557</c:v>
                </c:pt>
                <c:pt idx="165">
                  <c:v>-1492688.1445326053</c:v>
                </c:pt>
                <c:pt idx="166">
                  <c:v>-1386067.5627802764</c:v>
                </c:pt>
                <c:pt idx="167">
                  <c:v>-1293663.0585949246</c:v>
                </c:pt>
                <c:pt idx="168">
                  <c:v>-2055265.867085112</c:v>
                </c:pt>
                <c:pt idx="169">
                  <c:v>-1868423.5155319199</c:v>
                </c:pt>
                <c:pt idx="170">
                  <c:v>-1712721.5559042599</c:v>
                </c:pt>
                <c:pt idx="171">
                  <c:v>-1580973.7439116247</c:v>
                </c:pt>
                <c:pt idx="172">
                  <c:v>-1468047.0479179372</c:v>
                </c:pt>
                <c:pt idx="173">
                  <c:v>-1370177.244723408</c:v>
                </c:pt>
                <c:pt idx="174">
                  <c:v>-2213363.2414762746</c:v>
                </c:pt>
                <c:pt idx="175">
                  <c:v>-2012148.4013420679</c:v>
                </c:pt>
                <c:pt idx="176">
                  <c:v>-1844469.3678968956</c:v>
                </c:pt>
                <c:pt idx="177">
                  <c:v>-1702587.1088279036</c:v>
                </c:pt>
                <c:pt idx="178">
                  <c:v>-1580973.7439116249</c:v>
                </c:pt>
                <c:pt idx="179">
                  <c:v>-1475575.4943175165</c:v>
                </c:pt>
                <c:pt idx="180">
                  <c:v>-2371460.6158674369</c:v>
                </c:pt>
                <c:pt idx="181">
                  <c:v>-2155873.2871522154</c:v>
                </c:pt>
                <c:pt idx="182">
                  <c:v>-1976217.1798895304</c:v>
                </c:pt>
                <c:pt idx="183">
                  <c:v>-1824200.4737441819</c:v>
                </c:pt>
                <c:pt idx="184">
                  <c:v>-1693900.4399053119</c:v>
                </c:pt>
                <c:pt idx="185">
                  <c:v>-1580973.7439116244</c:v>
                </c:pt>
                <c:pt idx="186">
                  <c:v>-2529557.9902586001</c:v>
                </c:pt>
                <c:pt idx="187">
                  <c:v>-2299598.1729623638</c:v>
                </c:pt>
                <c:pt idx="188">
                  <c:v>-2107964.9918821668</c:v>
                </c:pt>
                <c:pt idx="189">
                  <c:v>-1945813.8386604616</c:v>
                </c:pt>
                <c:pt idx="190">
                  <c:v>-1806827.1358990001</c:v>
                </c:pt>
                <c:pt idx="191">
                  <c:v>-1686371.9935057333</c:v>
                </c:pt>
                <c:pt idx="192">
                  <c:v>-2625914.8155797655</c:v>
                </c:pt>
                <c:pt idx="193">
                  <c:v>-2387195.2868906953</c:v>
                </c:pt>
                <c:pt idx="194">
                  <c:v>-2188262.3463164712</c:v>
                </c:pt>
                <c:pt idx="195">
                  <c:v>-2019934.4735228964</c:v>
                </c:pt>
                <c:pt idx="196">
                  <c:v>-1875653.4396998324</c:v>
                </c:pt>
                <c:pt idx="197">
                  <c:v>-1750609.8770531768</c:v>
                </c:pt>
                <c:pt idx="198">
                  <c:v>-2827908.2629320538</c:v>
                </c:pt>
                <c:pt idx="199">
                  <c:v>-2570825.6935745943</c:v>
                </c:pt>
                <c:pt idx="200">
                  <c:v>-2356590.2191100451</c:v>
                </c:pt>
                <c:pt idx="201">
                  <c:v>-2175314.0484092725</c:v>
                </c:pt>
                <c:pt idx="202">
                  <c:v>-2019934.4735228957</c:v>
                </c:pt>
                <c:pt idx="203">
                  <c:v>-1885272.1752880358</c:v>
                </c:pt>
                <c:pt idx="204">
                  <c:v>-3029901.7102843435</c:v>
                </c:pt>
                <c:pt idx="205">
                  <c:v>-2754456.1002584938</c:v>
                </c:pt>
                <c:pt idx="206">
                  <c:v>-2524918.0919036195</c:v>
                </c:pt>
                <c:pt idx="207">
                  <c:v>-2330693.623295649</c:v>
                </c:pt>
                <c:pt idx="208">
                  <c:v>-2164215.5073459595</c:v>
                </c:pt>
                <c:pt idx="209">
                  <c:v>-2019934.4735228957</c:v>
                </c:pt>
                <c:pt idx="210">
                  <c:v>-3231895.1576366336</c:v>
                </c:pt>
                <c:pt idx="211">
                  <c:v>-2938086.5069423942</c:v>
                </c:pt>
                <c:pt idx="212">
                  <c:v>-2693245.9646971948</c:v>
                </c:pt>
                <c:pt idx="213">
                  <c:v>-2486073.1981820259</c:v>
                </c:pt>
                <c:pt idx="214">
                  <c:v>-2308496.5411690241</c:v>
                </c:pt>
                <c:pt idx="215">
                  <c:v>-2154596.7717577564</c:v>
                </c:pt>
                <c:pt idx="216">
                  <c:v>-3296435.2576796487</c:v>
                </c:pt>
                <c:pt idx="217">
                  <c:v>-2996759.3251633169</c:v>
                </c:pt>
                <c:pt idx="218">
                  <c:v>-2747029.3813997074</c:v>
                </c:pt>
                <c:pt idx="219">
                  <c:v>-2535719.4289843449</c:v>
                </c:pt>
                <c:pt idx="220">
                  <c:v>-2354596.6126283207</c:v>
                </c:pt>
                <c:pt idx="221">
                  <c:v>-2197623.5051197656</c:v>
                </c:pt>
                <c:pt idx="222">
                  <c:v>-3550007.2005780828</c:v>
                </c:pt>
                <c:pt idx="223">
                  <c:v>-3227279.2732528024</c:v>
                </c:pt>
                <c:pt idx="224">
                  <c:v>-2958339.3338150689</c:v>
                </c:pt>
                <c:pt idx="225">
                  <c:v>-2730774.7696754481</c:v>
                </c:pt>
                <c:pt idx="226">
                  <c:v>-2535719.4289843454</c:v>
                </c:pt>
                <c:pt idx="227">
                  <c:v>-2366671.4670520551</c:v>
                </c:pt>
                <c:pt idx="228">
                  <c:v>-3803579.1434765169</c:v>
                </c:pt>
                <c:pt idx="229">
                  <c:v>-3457799.221342288</c:v>
                </c:pt>
                <c:pt idx="230">
                  <c:v>-3169649.2862304309</c:v>
                </c:pt>
                <c:pt idx="231">
                  <c:v>-2925830.1103665517</c:v>
                </c:pt>
                <c:pt idx="232">
                  <c:v>-2716842.2453403696</c:v>
                </c:pt>
                <c:pt idx="233">
                  <c:v>-2535719.4289843449</c:v>
                </c:pt>
                <c:pt idx="234">
                  <c:v>-4057151.0863749529</c:v>
                </c:pt>
                <c:pt idx="235">
                  <c:v>-3688319.1694317749</c:v>
                </c:pt>
                <c:pt idx="236">
                  <c:v>-3380959.2386457939</c:v>
                </c:pt>
                <c:pt idx="237">
                  <c:v>-3120885.4510576557</c:v>
                </c:pt>
                <c:pt idx="238">
                  <c:v>-2897965.0616963953</c:v>
                </c:pt>
                <c:pt idx="239">
                  <c:v>-2704767.3909166353</c:v>
                </c:pt>
                <c:pt idx="240">
                  <c:v>-4073832.6276981072</c:v>
                </c:pt>
                <c:pt idx="241">
                  <c:v>-3703484.2069982789</c:v>
                </c:pt>
                <c:pt idx="242">
                  <c:v>-3394860.5230817562</c:v>
                </c:pt>
                <c:pt idx="243">
                  <c:v>-3133717.4059216208</c:v>
                </c:pt>
                <c:pt idx="244">
                  <c:v>-2909880.4483557907</c:v>
                </c:pt>
                <c:pt idx="245">
                  <c:v>-2715888.4184654048</c:v>
                </c:pt>
                <c:pt idx="246">
                  <c:v>-4387204.3682902697</c:v>
                </c:pt>
                <c:pt idx="247">
                  <c:v>-3988367.6075366084</c:v>
                </c:pt>
                <c:pt idx="248">
                  <c:v>-3656003.6402418911</c:v>
                </c:pt>
                <c:pt idx="249">
                  <c:v>-3374772.5909925145</c:v>
                </c:pt>
                <c:pt idx="250">
                  <c:v>-3133717.4059216212</c:v>
                </c:pt>
                <c:pt idx="251">
                  <c:v>-2924802.912193513</c:v>
                </c:pt>
                <c:pt idx="252">
                  <c:v>-4700576.1088824309</c:v>
                </c:pt>
                <c:pt idx="253">
                  <c:v>-4273251.0080749374</c:v>
                </c:pt>
                <c:pt idx="254">
                  <c:v>-3917146.7574020261</c:v>
                </c:pt>
                <c:pt idx="255">
                  <c:v>-3615827.7760634082</c:v>
                </c:pt>
                <c:pt idx="256">
                  <c:v>-3357554.3634874509</c:v>
                </c:pt>
                <c:pt idx="257">
                  <c:v>-3133717.4059216208</c:v>
                </c:pt>
                <c:pt idx="258">
                  <c:v>-5013947.8494745949</c:v>
                </c:pt>
                <c:pt idx="259">
                  <c:v>-4558134.4086132683</c:v>
                </c:pt>
                <c:pt idx="260">
                  <c:v>-4178289.8745621624</c:v>
                </c:pt>
                <c:pt idx="261">
                  <c:v>-3856882.9611343034</c:v>
                </c:pt>
                <c:pt idx="262">
                  <c:v>-3581391.3210532819</c:v>
                </c:pt>
                <c:pt idx="263">
                  <c:v>-3342631.89964973</c:v>
                </c:pt>
                <c:pt idx="264">
                  <c:v>-4963797.83897088</c:v>
                </c:pt>
                <c:pt idx="265">
                  <c:v>-4512543.4899735274</c:v>
                </c:pt>
                <c:pt idx="266">
                  <c:v>-4136498.1991424002</c:v>
                </c:pt>
                <c:pt idx="267">
                  <c:v>-3818306.0299776001</c:v>
                </c:pt>
                <c:pt idx="268">
                  <c:v>-3545569.8849792005</c:v>
                </c:pt>
                <c:pt idx="269">
                  <c:v>-3309198.5593139199</c:v>
                </c:pt>
                <c:pt idx="270">
                  <c:v>-5345628.4419686394</c:v>
                </c:pt>
                <c:pt idx="271">
                  <c:v>-4859662.219971491</c:v>
                </c:pt>
                <c:pt idx="272">
                  <c:v>-4454690.3683071993</c:v>
                </c:pt>
                <c:pt idx="273">
                  <c:v>-4112021.8784374157</c:v>
                </c:pt>
                <c:pt idx="274">
                  <c:v>-3818306.0299775996</c:v>
                </c:pt>
                <c:pt idx="275">
                  <c:v>-3563752.2946457602</c:v>
                </c:pt>
                <c:pt idx="276">
                  <c:v>-5727459.0449663978</c:v>
                </c:pt>
                <c:pt idx="277">
                  <c:v>-5206780.9499694528</c:v>
                </c:pt>
                <c:pt idx="278">
                  <c:v>-4772882.5374719976</c:v>
                </c:pt>
                <c:pt idx="279">
                  <c:v>-4405737.7268972294</c:v>
                </c:pt>
                <c:pt idx="280">
                  <c:v>-4091042.1749759987</c:v>
                </c:pt>
                <c:pt idx="281">
                  <c:v>-3818306.0299775982</c:v>
                </c:pt>
                <c:pt idx="282">
                  <c:v>-6109289.6479641609</c:v>
                </c:pt>
                <c:pt idx="283">
                  <c:v>-5553899.6799674192</c:v>
                </c:pt>
                <c:pt idx="284">
                  <c:v>-5091074.7066368004</c:v>
                </c:pt>
                <c:pt idx="285">
                  <c:v>-4699453.5753570469</c:v>
                </c:pt>
                <c:pt idx="286">
                  <c:v>-4363778.319974401</c:v>
                </c:pt>
                <c:pt idx="287">
                  <c:v>-4072859.7653094404</c:v>
                </c:pt>
                <c:pt idx="288">
                  <c:v>-5969873.5039670188</c:v>
                </c:pt>
                <c:pt idx="289">
                  <c:v>-5427157.7308791084</c:v>
                </c:pt>
                <c:pt idx="290">
                  <c:v>-4974894.5866391817</c:v>
                </c:pt>
                <c:pt idx="291">
                  <c:v>-4592210.387666937</c:v>
                </c:pt>
                <c:pt idx="292">
                  <c:v>-4264195.3599764416</c:v>
                </c:pt>
                <c:pt idx="293">
                  <c:v>-3979915.669311346</c:v>
                </c:pt>
                <c:pt idx="294">
                  <c:v>-6429094.5427337112</c:v>
                </c:pt>
                <c:pt idx="295">
                  <c:v>-5844631.4024851928</c:v>
                </c:pt>
                <c:pt idx="296">
                  <c:v>-5357578.7856114265</c:v>
                </c:pt>
                <c:pt idx="297">
                  <c:v>-4945457.3405643934</c:v>
                </c:pt>
                <c:pt idx="298">
                  <c:v>-4592210.387666937</c:v>
                </c:pt>
                <c:pt idx="299">
                  <c:v>-4286063.0284891408</c:v>
                </c:pt>
                <c:pt idx="300">
                  <c:v>-6888315.5815004036</c:v>
                </c:pt>
                <c:pt idx="301">
                  <c:v>-6262105.0740912762</c:v>
                </c:pt>
                <c:pt idx="302">
                  <c:v>-5740262.9845836693</c:v>
                </c:pt>
                <c:pt idx="303">
                  <c:v>-5298704.293461849</c:v>
                </c:pt>
                <c:pt idx="304">
                  <c:v>-4920225.4153574314</c:v>
                </c:pt>
                <c:pt idx="305">
                  <c:v>-4592210.387666936</c:v>
                </c:pt>
                <c:pt idx="306">
                  <c:v>-7347536.6202671006</c:v>
                </c:pt>
                <c:pt idx="307">
                  <c:v>-6679578.7456973642</c:v>
                </c:pt>
                <c:pt idx="308">
                  <c:v>-6122947.1835559169</c:v>
                </c:pt>
                <c:pt idx="309">
                  <c:v>-5651951.2463593073</c:v>
                </c:pt>
                <c:pt idx="310">
                  <c:v>-5248240.4430479286</c:v>
                </c:pt>
                <c:pt idx="311">
                  <c:v>-4898357.7468447331</c:v>
                </c:pt>
                <c:pt idx="312">
                  <c:v>-7091606.4109737957</c:v>
                </c:pt>
                <c:pt idx="313">
                  <c:v>-6446914.9190670867</c:v>
                </c:pt>
                <c:pt idx="314">
                  <c:v>-5909672.0091448287</c:v>
                </c:pt>
                <c:pt idx="315">
                  <c:v>-5455081.8545952262</c:v>
                </c:pt>
                <c:pt idx="316">
                  <c:v>-5065433.150695567</c:v>
                </c:pt>
                <c:pt idx="317">
                  <c:v>-4727737.6073158635</c:v>
                </c:pt>
                <c:pt idx="318">
                  <c:v>-7637114.5964333173</c:v>
                </c:pt>
                <c:pt idx="319">
                  <c:v>-6942831.4513030164</c:v>
                </c:pt>
                <c:pt idx="320">
                  <c:v>-6364262.1636944311</c:v>
                </c:pt>
                <c:pt idx="321">
                  <c:v>-5874703.5357179372</c:v>
                </c:pt>
                <c:pt idx="322">
                  <c:v>-5455081.8545952272</c:v>
                </c:pt>
                <c:pt idx="323">
                  <c:v>-5091409.7309555449</c:v>
                </c:pt>
                <c:pt idx="324">
                  <c:v>-8182622.7818928361</c:v>
                </c:pt>
                <c:pt idx="325">
                  <c:v>-7438747.9835389424</c:v>
                </c:pt>
                <c:pt idx="326">
                  <c:v>-6818852.3182440316</c:v>
                </c:pt>
                <c:pt idx="327">
                  <c:v>-6294325.2168406434</c:v>
                </c:pt>
                <c:pt idx="328">
                  <c:v>-5844730.5584948845</c:v>
                </c:pt>
                <c:pt idx="329">
                  <c:v>-5455081.8545952253</c:v>
                </c:pt>
                <c:pt idx="330">
                  <c:v>-8728130.9673523623</c:v>
                </c:pt>
                <c:pt idx="331">
                  <c:v>-7934664.5157748749</c:v>
                </c:pt>
                <c:pt idx="332">
                  <c:v>-7273442.472793635</c:v>
                </c:pt>
                <c:pt idx="333">
                  <c:v>-6713946.8979633553</c:v>
                </c:pt>
                <c:pt idx="334">
                  <c:v>-6234379.2623945447</c:v>
                </c:pt>
                <c:pt idx="335">
                  <c:v>-5818753.9782349085</c:v>
                </c:pt>
                <c:pt idx="336">
                  <c:v>-8316243</c:v>
                </c:pt>
                <c:pt idx="337">
                  <c:v>-7560220.9090909082</c:v>
                </c:pt>
                <c:pt idx="338">
                  <c:v>-6930202.5</c:v>
                </c:pt>
                <c:pt idx="339">
                  <c:v>-6397110</c:v>
                </c:pt>
                <c:pt idx="340">
                  <c:v>-5940173.5714285709</c:v>
                </c:pt>
                <c:pt idx="341">
                  <c:v>-5544162</c:v>
                </c:pt>
                <c:pt idx="342">
                  <c:v>-8955954</c:v>
                </c:pt>
                <c:pt idx="343">
                  <c:v>-8141776.3636363633</c:v>
                </c:pt>
                <c:pt idx="344">
                  <c:v>-7463294.9999999991</c:v>
                </c:pt>
                <c:pt idx="345">
                  <c:v>-6889195.384615384</c:v>
                </c:pt>
                <c:pt idx="346">
                  <c:v>-6397109.9999999991</c:v>
                </c:pt>
                <c:pt idx="347">
                  <c:v>-5970636</c:v>
                </c:pt>
                <c:pt idx="348">
                  <c:v>-9595664.9999999981</c:v>
                </c:pt>
                <c:pt idx="349">
                  <c:v>-8723331.8181818165</c:v>
                </c:pt>
                <c:pt idx="350">
                  <c:v>-7996387.4999999972</c:v>
                </c:pt>
                <c:pt idx="351">
                  <c:v>-7381280.7692307672</c:v>
                </c:pt>
                <c:pt idx="352">
                  <c:v>-6854046.4285714254</c:v>
                </c:pt>
                <c:pt idx="353">
                  <c:v>-6397109.9999999991</c:v>
                </c:pt>
                <c:pt idx="354">
                  <c:v>-10235376.000000002</c:v>
                </c:pt>
                <c:pt idx="355">
                  <c:v>-9304887.2727272753</c:v>
                </c:pt>
                <c:pt idx="356">
                  <c:v>-8529480.0000000019</c:v>
                </c:pt>
                <c:pt idx="357">
                  <c:v>-7873366.1538461549</c:v>
                </c:pt>
                <c:pt idx="358">
                  <c:v>-7310982.8571428582</c:v>
                </c:pt>
                <c:pt idx="359">
                  <c:v>-6823584.0000000009</c:v>
                </c:pt>
                <c:pt idx="360">
                  <c:v>-9627090.802875001</c:v>
                </c:pt>
                <c:pt idx="361">
                  <c:v>-8751900.7298863642</c:v>
                </c:pt>
                <c:pt idx="362">
                  <c:v>-8022575.6690624999</c:v>
                </c:pt>
                <c:pt idx="363">
                  <c:v>-7405454.4637500001</c:v>
                </c:pt>
                <c:pt idx="364">
                  <c:v>-6876493.430625</c:v>
                </c:pt>
                <c:pt idx="365">
                  <c:v>-6418060.5352499997</c:v>
                </c:pt>
                <c:pt idx="366">
                  <c:v>-10367636.249249998</c:v>
                </c:pt>
                <c:pt idx="367">
                  <c:v>-9425123.8629545439</c:v>
                </c:pt>
                <c:pt idx="368">
                  <c:v>-8639696.8743749987</c:v>
                </c:pt>
                <c:pt idx="369">
                  <c:v>-7975104.8071153834</c:v>
                </c:pt>
                <c:pt idx="370">
                  <c:v>-7405454.4637499992</c:v>
                </c:pt>
                <c:pt idx="371">
                  <c:v>-6911757.4994999999</c:v>
                </c:pt>
                <c:pt idx="372">
                  <c:v>-11108181.695625</c:v>
                </c:pt>
                <c:pt idx="373">
                  <c:v>-10098346.996022725</c:v>
                </c:pt>
                <c:pt idx="374">
                  <c:v>-9256818.0796874985</c:v>
                </c:pt>
                <c:pt idx="375">
                  <c:v>-8544755.1504807677</c:v>
                </c:pt>
                <c:pt idx="376">
                  <c:v>-7934415.4968749993</c:v>
                </c:pt>
                <c:pt idx="377">
                  <c:v>-7405454.4637499992</c:v>
                </c:pt>
                <c:pt idx="378">
                  <c:v>-11848727.142000001</c:v>
                </c:pt>
                <c:pt idx="379">
                  <c:v>-10771570.129090911</c:v>
                </c:pt>
                <c:pt idx="380">
                  <c:v>-9873939.2850000001</c:v>
                </c:pt>
                <c:pt idx="381">
                  <c:v>-9114405.4938461538</c:v>
                </c:pt>
                <c:pt idx="382">
                  <c:v>-8463376.5300000012</c:v>
                </c:pt>
                <c:pt idx="383">
                  <c:v>-7899151.4280000003</c:v>
                </c:pt>
                <c:pt idx="384">
                  <c:v>-11068919.433000002</c:v>
                </c:pt>
                <c:pt idx="385">
                  <c:v>-10062654.030000001</c:v>
                </c:pt>
                <c:pt idx="386">
                  <c:v>-9224099.5275000017</c:v>
                </c:pt>
                <c:pt idx="387">
                  <c:v>-8514553.4100000001</c:v>
                </c:pt>
                <c:pt idx="388">
                  <c:v>-7906371.0235714298</c:v>
                </c:pt>
                <c:pt idx="389">
                  <c:v>-7379279.6220000004</c:v>
                </c:pt>
                <c:pt idx="390">
                  <c:v>-11920374.774</c:v>
                </c:pt>
                <c:pt idx="391">
                  <c:v>-10836704.34</c:v>
                </c:pt>
                <c:pt idx="392">
                  <c:v>-9933645.6449999996</c:v>
                </c:pt>
                <c:pt idx="393">
                  <c:v>-9169519.0569230765</c:v>
                </c:pt>
                <c:pt idx="394">
                  <c:v>-8514553.4100000001</c:v>
                </c:pt>
                <c:pt idx="395">
                  <c:v>-7946916.5159999998</c:v>
                </c:pt>
                <c:pt idx="396">
                  <c:v>-12771830.114999996</c:v>
                </c:pt>
                <c:pt idx="397">
                  <c:v>-11610754.649999999</c:v>
                </c:pt>
                <c:pt idx="398">
                  <c:v>-10643191.762499997</c:v>
                </c:pt>
                <c:pt idx="399">
                  <c:v>-9824484.703846151</c:v>
                </c:pt>
                <c:pt idx="400">
                  <c:v>-9122735.7964285687</c:v>
                </c:pt>
                <c:pt idx="401">
                  <c:v>-8514553.4099999983</c:v>
                </c:pt>
                <c:pt idx="402">
                  <c:v>-13623285.456000002</c:v>
                </c:pt>
                <c:pt idx="403">
                  <c:v>-12384804.960000001</c:v>
                </c:pt>
                <c:pt idx="404">
                  <c:v>-11352737.880000001</c:v>
                </c:pt>
                <c:pt idx="405">
                  <c:v>-10479450.350769231</c:v>
                </c:pt>
                <c:pt idx="406">
                  <c:v>-9730918.1828571446</c:v>
                </c:pt>
                <c:pt idx="407">
                  <c:v>-9082190.3040000014</c:v>
                </c:pt>
                <c:pt idx="408">
                  <c:v>-12647966.072624998</c:v>
                </c:pt>
                <c:pt idx="409">
                  <c:v>-11498150.975113636</c:v>
                </c:pt>
                <c:pt idx="410">
                  <c:v>-10539971.727187501</c:v>
                </c:pt>
                <c:pt idx="411">
                  <c:v>-9729204.6712500006</c:v>
                </c:pt>
                <c:pt idx="412">
                  <c:v>-9034261.4804464281</c:v>
                </c:pt>
                <c:pt idx="413">
                  <c:v>-8431977.3817500006</c:v>
                </c:pt>
                <c:pt idx="414">
                  <c:v>-13620886.53975</c:v>
                </c:pt>
                <c:pt idx="415">
                  <c:v>-12382624.127045454</c:v>
                </c:pt>
                <c:pt idx="416">
                  <c:v>-11350738.783125</c:v>
                </c:pt>
                <c:pt idx="417">
                  <c:v>-10477605.030576922</c:v>
                </c:pt>
                <c:pt idx="418">
                  <c:v>-9729204.6712499987</c:v>
                </c:pt>
                <c:pt idx="419">
                  <c:v>-9080591.0264999997</c:v>
                </c:pt>
                <c:pt idx="420">
                  <c:v>-14593807.006874997</c:v>
                </c:pt>
                <c:pt idx="421">
                  <c:v>-13267097.278977269</c:v>
                </c:pt>
                <c:pt idx="422">
                  <c:v>-12161505.839062497</c:v>
                </c:pt>
                <c:pt idx="423">
                  <c:v>-11226005.389903843</c:v>
                </c:pt>
                <c:pt idx="424">
                  <c:v>-10424147.862053569</c:v>
                </c:pt>
                <c:pt idx="425">
                  <c:v>-9729204.6712499987</c:v>
                </c:pt>
                <c:pt idx="426">
                  <c:v>-15566727.474000003</c:v>
                </c:pt>
                <c:pt idx="427">
                  <c:v>-14151570.430909092</c:v>
                </c:pt>
                <c:pt idx="428">
                  <c:v>-12972272.895000003</c:v>
                </c:pt>
                <c:pt idx="429">
                  <c:v>-11974405.749230772</c:v>
                </c:pt>
                <c:pt idx="430">
                  <c:v>-11119091.052857144</c:v>
                </c:pt>
                <c:pt idx="431">
                  <c:v>-10377818.316000002</c:v>
                </c:pt>
                <c:pt idx="432">
                  <c:v>-14347457.430462264</c:v>
                </c:pt>
                <c:pt idx="433">
                  <c:v>-13043143.118602058</c:v>
                </c:pt>
                <c:pt idx="434">
                  <c:v>-11956214.52538522</c:v>
                </c:pt>
                <c:pt idx="435">
                  <c:v>-11036505.715740204</c:v>
                </c:pt>
                <c:pt idx="436">
                  <c:v>-10248183.878901618</c:v>
                </c:pt>
                <c:pt idx="437">
                  <c:v>-9564971.6203081757</c:v>
                </c:pt>
                <c:pt idx="438">
                  <c:v>-15451108.002036281</c:v>
                </c:pt>
                <c:pt idx="439">
                  <c:v>-14046461.820032982</c:v>
                </c:pt>
                <c:pt idx="440">
                  <c:v>-12875923.335030235</c:v>
                </c:pt>
                <c:pt idx="441">
                  <c:v>-11885467.693874063</c:v>
                </c:pt>
                <c:pt idx="442">
                  <c:v>-11036505.715740202</c:v>
                </c:pt>
                <c:pt idx="443">
                  <c:v>-10300738.668024188</c:v>
                </c:pt>
                <c:pt idx="444">
                  <c:v>-16554758.5736103</c:v>
                </c:pt>
                <c:pt idx="445">
                  <c:v>-15049780.52146391</c:v>
                </c:pt>
                <c:pt idx="446">
                  <c:v>-13795632.144675249</c:v>
                </c:pt>
                <c:pt idx="447">
                  <c:v>-12734429.672007926</c:v>
                </c:pt>
                <c:pt idx="448">
                  <c:v>-11824827.552578786</c:v>
                </c:pt>
                <c:pt idx="449">
                  <c:v>-11036505.715740202</c:v>
                </c:pt>
                <c:pt idx="450">
                  <c:v>-17658409.145184331</c:v>
                </c:pt>
                <c:pt idx="451">
                  <c:v>-16053099.222894844</c:v>
                </c:pt>
                <c:pt idx="452">
                  <c:v>-14715340.954320274</c:v>
                </c:pt>
                <c:pt idx="453">
                  <c:v>-13583391.650141791</c:v>
                </c:pt>
                <c:pt idx="454">
                  <c:v>-12613149.389417378</c:v>
                </c:pt>
                <c:pt idx="455">
                  <c:v>-11772272.76345622</c:v>
                </c:pt>
                <c:pt idx="456">
                  <c:v>-16139855.302572912</c:v>
                </c:pt>
                <c:pt idx="457">
                  <c:v>-14672595.72961174</c:v>
                </c:pt>
                <c:pt idx="458">
                  <c:v>-13449879.418810761</c:v>
                </c:pt>
                <c:pt idx="459">
                  <c:v>-12415273.309671471</c:v>
                </c:pt>
                <c:pt idx="460">
                  <c:v>-11528468.073266366</c:v>
                </c:pt>
                <c:pt idx="461">
                  <c:v>-10759903.535048608</c:v>
                </c:pt>
                <c:pt idx="462">
                  <c:v>-17381382.633540057</c:v>
                </c:pt>
                <c:pt idx="463">
                  <c:v>-15801256.939581871</c:v>
                </c:pt>
                <c:pt idx="464">
                  <c:v>-14484485.527950047</c:v>
                </c:pt>
                <c:pt idx="465">
                  <c:v>-13370294.333492352</c:v>
                </c:pt>
                <c:pt idx="466">
                  <c:v>-12415273.309671469</c:v>
                </c:pt>
                <c:pt idx="467">
                  <c:v>-11587588.422360038</c:v>
                </c:pt>
                <c:pt idx="468">
                  <c:v>-18622909.964507204</c:v>
                </c:pt>
                <c:pt idx="469">
                  <c:v>-16929918.149552006</c:v>
                </c:pt>
                <c:pt idx="470">
                  <c:v>-15519091.637089336</c:v>
                </c:pt>
                <c:pt idx="471">
                  <c:v>-14325315.357313234</c:v>
                </c:pt>
                <c:pt idx="472">
                  <c:v>-13302078.546076573</c:v>
                </c:pt>
                <c:pt idx="473">
                  <c:v>-12415273.309671469</c:v>
                </c:pt>
                <c:pt idx="474">
                  <c:v>-19864437.295474358</c:v>
                </c:pt>
                <c:pt idx="475">
                  <c:v>-18058579.359522145</c:v>
                </c:pt>
                <c:pt idx="476">
                  <c:v>-16553697.746228633</c:v>
                </c:pt>
                <c:pt idx="477">
                  <c:v>-15280336.381134124</c:v>
                </c:pt>
                <c:pt idx="478">
                  <c:v>-14188883.782481685</c:v>
                </c:pt>
                <c:pt idx="479">
                  <c:v>-13242958.196982905</c:v>
                </c:pt>
                <c:pt idx="480">
                  <c:v>-18036739.526729595</c:v>
                </c:pt>
                <c:pt idx="481">
                  <c:v>-16397035.933390541</c:v>
                </c:pt>
                <c:pt idx="482">
                  <c:v>-15030616.272274664</c:v>
                </c:pt>
                <c:pt idx="483">
                  <c:v>-13874415.020561228</c:v>
                </c:pt>
                <c:pt idx="484">
                  <c:v>-12883385.376235427</c:v>
                </c:pt>
                <c:pt idx="485">
                  <c:v>-12024493.017819731</c:v>
                </c:pt>
                <c:pt idx="486">
                  <c:v>-19424181.028785713</c:v>
                </c:pt>
                <c:pt idx="487">
                  <c:v>-17658346.389805194</c:v>
                </c:pt>
                <c:pt idx="488">
                  <c:v>-16186817.523988096</c:v>
                </c:pt>
                <c:pt idx="489">
                  <c:v>-14941677.714450551</c:v>
                </c:pt>
                <c:pt idx="490">
                  <c:v>-13874415.020561226</c:v>
                </c:pt>
                <c:pt idx="491">
                  <c:v>-12949454.019190475</c:v>
                </c:pt>
                <c:pt idx="492">
                  <c:v>-20811622.530841842</c:v>
                </c:pt>
                <c:pt idx="493">
                  <c:v>-18919656.846219853</c:v>
                </c:pt>
                <c:pt idx="494">
                  <c:v>-17343018.775701534</c:v>
                </c:pt>
                <c:pt idx="495">
                  <c:v>-16008940.408339877</c:v>
                </c:pt>
                <c:pt idx="496">
                  <c:v>-14865444.66488703</c:v>
                </c:pt>
                <c:pt idx="497">
                  <c:v>-13874415.020561228</c:v>
                </c:pt>
                <c:pt idx="498">
                  <c:v>-22199064.032897972</c:v>
                </c:pt>
                <c:pt idx="499">
                  <c:v>-20180967.302634519</c:v>
                </c:pt>
                <c:pt idx="500">
                  <c:v>-18499220.027414974</c:v>
                </c:pt>
                <c:pt idx="501">
                  <c:v>-17076203.102229208</c:v>
                </c:pt>
                <c:pt idx="502">
                  <c:v>-15856474.309212837</c:v>
                </c:pt>
                <c:pt idx="503">
                  <c:v>-14799376.021931982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145680"/>
        <c:axId val="1640131536"/>
      </c:scatterChart>
      <c:valAx>
        <c:axId val="164014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131536"/>
        <c:crosses val="autoZero"/>
        <c:crossBetween val="midCat"/>
      </c:valAx>
      <c:valAx>
        <c:axId val="164013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145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CSR_VBM!$L$1</c:f>
              <c:strCache>
                <c:ptCount val="1"/>
                <c:pt idx="0">
                  <c:v>Mv-h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CSR_VBM!$C$2:$C$505</c:f>
              <c:numCache>
                <c:formatCode>General</c:formatCode>
                <c:ptCount val="50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0.7</c:v>
                </c:pt>
                <c:pt idx="31">
                  <c:v>0.7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0.7</c:v>
                </c:pt>
                <c:pt idx="55">
                  <c:v>0.7</c:v>
                </c:pt>
                <c:pt idx="56">
                  <c:v>0.7</c:v>
                </c:pt>
                <c:pt idx="57">
                  <c:v>0.7</c:v>
                </c:pt>
                <c:pt idx="58">
                  <c:v>0.7</c:v>
                </c:pt>
                <c:pt idx="59">
                  <c:v>0.7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0.9</c:v>
                </c:pt>
                <c:pt idx="67">
                  <c:v>0.9</c:v>
                </c:pt>
                <c:pt idx="68">
                  <c:v>0.9</c:v>
                </c:pt>
                <c:pt idx="69">
                  <c:v>0.9</c:v>
                </c:pt>
                <c:pt idx="70">
                  <c:v>0.9</c:v>
                </c:pt>
                <c:pt idx="71">
                  <c:v>0.9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0.7</c:v>
                </c:pt>
                <c:pt idx="79">
                  <c:v>0.7</c:v>
                </c:pt>
                <c:pt idx="80">
                  <c:v>0.7</c:v>
                </c:pt>
                <c:pt idx="81">
                  <c:v>0.7</c:v>
                </c:pt>
                <c:pt idx="82">
                  <c:v>0.7</c:v>
                </c:pt>
                <c:pt idx="83">
                  <c:v>0.7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0.9</c:v>
                </c:pt>
                <c:pt idx="91">
                  <c:v>0.9</c:v>
                </c:pt>
                <c:pt idx="92">
                  <c:v>0.9</c:v>
                </c:pt>
                <c:pt idx="93">
                  <c:v>0.9</c:v>
                </c:pt>
                <c:pt idx="94">
                  <c:v>0.9</c:v>
                </c:pt>
                <c:pt idx="95">
                  <c:v>0.9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0.7</c:v>
                </c:pt>
                <c:pt idx="103">
                  <c:v>0.7</c:v>
                </c:pt>
                <c:pt idx="104">
                  <c:v>0.7</c:v>
                </c:pt>
                <c:pt idx="105">
                  <c:v>0.7</c:v>
                </c:pt>
                <c:pt idx="106">
                  <c:v>0.7</c:v>
                </c:pt>
                <c:pt idx="107">
                  <c:v>0.7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0.9</c:v>
                </c:pt>
                <c:pt idx="115">
                  <c:v>0.9</c:v>
                </c:pt>
                <c:pt idx="116">
                  <c:v>0.9</c:v>
                </c:pt>
                <c:pt idx="117">
                  <c:v>0.9</c:v>
                </c:pt>
                <c:pt idx="118">
                  <c:v>0.9</c:v>
                </c:pt>
                <c:pt idx="119">
                  <c:v>0.9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0.7</c:v>
                </c:pt>
                <c:pt idx="127">
                  <c:v>0.7</c:v>
                </c:pt>
                <c:pt idx="128">
                  <c:v>0.7</c:v>
                </c:pt>
                <c:pt idx="129">
                  <c:v>0.7</c:v>
                </c:pt>
                <c:pt idx="130">
                  <c:v>0.7</c:v>
                </c:pt>
                <c:pt idx="131">
                  <c:v>0.7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0.9</c:v>
                </c:pt>
                <c:pt idx="139">
                  <c:v>0.9</c:v>
                </c:pt>
                <c:pt idx="140">
                  <c:v>0.9</c:v>
                </c:pt>
                <c:pt idx="141">
                  <c:v>0.9</c:v>
                </c:pt>
                <c:pt idx="142">
                  <c:v>0.9</c:v>
                </c:pt>
                <c:pt idx="143">
                  <c:v>0.9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</c:v>
                </c:pt>
                <c:pt idx="150">
                  <c:v>0.7</c:v>
                </c:pt>
                <c:pt idx="151">
                  <c:v>0.7</c:v>
                </c:pt>
                <c:pt idx="152">
                  <c:v>0.7</c:v>
                </c:pt>
                <c:pt idx="153">
                  <c:v>0.7</c:v>
                </c:pt>
                <c:pt idx="154">
                  <c:v>0.7</c:v>
                </c:pt>
                <c:pt idx="155">
                  <c:v>0.7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0.9</c:v>
                </c:pt>
                <c:pt idx="163">
                  <c:v>0.9</c:v>
                </c:pt>
                <c:pt idx="164">
                  <c:v>0.9</c:v>
                </c:pt>
                <c:pt idx="165">
                  <c:v>0.9</c:v>
                </c:pt>
                <c:pt idx="166">
                  <c:v>0.9</c:v>
                </c:pt>
                <c:pt idx="167">
                  <c:v>0.9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0.6</c:v>
                </c:pt>
                <c:pt idx="172">
                  <c:v>0.6</c:v>
                </c:pt>
                <c:pt idx="173">
                  <c:v>0.6</c:v>
                </c:pt>
                <c:pt idx="174">
                  <c:v>0.7</c:v>
                </c:pt>
                <c:pt idx="175">
                  <c:v>0.7</c:v>
                </c:pt>
                <c:pt idx="176">
                  <c:v>0.7</c:v>
                </c:pt>
                <c:pt idx="177">
                  <c:v>0.7</c:v>
                </c:pt>
                <c:pt idx="178">
                  <c:v>0.7</c:v>
                </c:pt>
                <c:pt idx="179">
                  <c:v>0.7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0.9</c:v>
                </c:pt>
                <c:pt idx="187">
                  <c:v>0.9</c:v>
                </c:pt>
                <c:pt idx="188">
                  <c:v>0.9</c:v>
                </c:pt>
                <c:pt idx="189">
                  <c:v>0.9</c:v>
                </c:pt>
                <c:pt idx="190">
                  <c:v>0.9</c:v>
                </c:pt>
                <c:pt idx="191">
                  <c:v>0.9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</c:v>
                </c:pt>
                <c:pt idx="198">
                  <c:v>0.7</c:v>
                </c:pt>
                <c:pt idx="199">
                  <c:v>0.7</c:v>
                </c:pt>
                <c:pt idx="200">
                  <c:v>0.7</c:v>
                </c:pt>
                <c:pt idx="201">
                  <c:v>0.7</c:v>
                </c:pt>
                <c:pt idx="202">
                  <c:v>0.7</c:v>
                </c:pt>
                <c:pt idx="203">
                  <c:v>0.7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0.9</c:v>
                </c:pt>
                <c:pt idx="211">
                  <c:v>0.9</c:v>
                </c:pt>
                <c:pt idx="212">
                  <c:v>0.9</c:v>
                </c:pt>
                <c:pt idx="213">
                  <c:v>0.9</c:v>
                </c:pt>
                <c:pt idx="214">
                  <c:v>0.9</c:v>
                </c:pt>
                <c:pt idx="215">
                  <c:v>0.9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0.6</c:v>
                </c:pt>
                <c:pt idx="220">
                  <c:v>0.6</c:v>
                </c:pt>
                <c:pt idx="221">
                  <c:v>0.6</c:v>
                </c:pt>
                <c:pt idx="222">
                  <c:v>0.7</c:v>
                </c:pt>
                <c:pt idx="223">
                  <c:v>0.7</c:v>
                </c:pt>
                <c:pt idx="224">
                  <c:v>0.7</c:v>
                </c:pt>
                <c:pt idx="225">
                  <c:v>0.7</c:v>
                </c:pt>
                <c:pt idx="226">
                  <c:v>0.7</c:v>
                </c:pt>
                <c:pt idx="227">
                  <c:v>0.7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0.9</c:v>
                </c:pt>
                <c:pt idx="235">
                  <c:v>0.9</c:v>
                </c:pt>
                <c:pt idx="236">
                  <c:v>0.9</c:v>
                </c:pt>
                <c:pt idx="237">
                  <c:v>0.9</c:v>
                </c:pt>
                <c:pt idx="238">
                  <c:v>0.9</c:v>
                </c:pt>
                <c:pt idx="239">
                  <c:v>0.9</c:v>
                </c:pt>
                <c:pt idx="240">
                  <c:v>0.6</c:v>
                </c:pt>
                <c:pt idx="241">
                  <c:v>0.6</c:v>
                </c:pt>
                <c:pt idx="242">
                  <c:v>0.6</c:v>
                </c:pt>
                <c:pt idx="243">
                  <c:v>0.6</c:v>
                </c:pt>
                <c:pt idx="244">
                  <c:v>0.6</c:v>
                </c:pt>
                <c:pt idx="245">
                  <c:v>0.6</c:v>
                </c:pt>
                <c:pt idx="246">
                  <c:v>0.7</c:v>
                </c:pt>
                <c:pt idx="247">
                  <c:v>0.7</c:v>
                </c:pt>
                <c:pt idx="248">
                  <c:v>0.7</c:v>
                </c:pt>
                <c:pt idx="249">
                  <c:v>0.7</c:v>
                </c:pt>
                <c:pt idx="250">
                  <c:v>0.7</c:v>
                </c:pt>
                <c:pt idx="251">
                  <c:v>0.7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0.9</c:v>
                </c:pt>
                <c:pt idx="259">
                  <c:v>0.9</c:v>
                </c:pt>
                <c:pt idx="260">
                  <c:v>0.9</c:v>
                </c:pt>
                <c:pt idx="261">
                  <c:v>0.9</c:v>
                </c:pt>
                <c:pt idx="262">
                  <c:v>0.9</c:v>
                </c:pt>
                <c:pt idx="263">
                  <c:v>0.9</c:v>
                </c:pt>
                <c:pt idx="264">
                  <c:v>0.6</c:v>
                </c:pt>
                <c:pt idx="265">
                  <c:v>0.6</c:v>
                </c:pt>
                <c:pt idx="266">
                  <c:v>0.6</c:v>
                </c:pt>
                <c:pt idx="267">
                  <c:v>0.6</c:v>
                </c:pt>
                <c:pt idx="268">
                  <c:v>0.6</c:v>
                </c:pt>
                <c:pt idx="269">
                  <c:v>0.6</c:v>
                </c:pt>
                <c:pt idx="270">
                  <c:v>0.7</c:v>
                </c:pt>
                <c:pt idx="271">
                  <c:v>0.7</c:v>
                </c:pt>
                <c:pt idx="272">
                  <c:v>0.7</c:v>
                </c:pt>
                <c:pt idx="273">
                  <c:v>0.7</c:v>
                </c:pt>
                <c:pt idx="274">
                  <c:v>0.7</c:v>
                </c:pt>
                <c:pt idx="275">
                  <c:v>0.7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0.9</c:v>
                </c:pt>
                <c:pt idx="283">
                  <c:v>0.9</c:v>
                </c:pt>
                <c:pt idx="284">
                  <c:v>0.9</c:v>
                </c:pt>
                <c:pt idx="285">
                  <c:v>0.9</c:v>
                </c:pt>
                <c:pt idx="286">
                  <c:v>0.9</c:v>
                </c:pt>
                <c:pt idx="287">
                  <c:v>0.9</c:v>
                </c:pt>
                <c:pt idx="288">
                  <c:v>0.6</c:v>
                </c:pt>
                <c:pt idx="289">
                  <c:v>0.6</c:v>
                </c:pt>
                <c:pt idx="290">
                  <c:v>0.6</c:v>
                </c:pt>
                <c:pt idx="291">
                  <c:v>0.6</c:v>
                </c:pt>
                <c:pt idx="292">
                  <c:v>0.6</c:v>
                </c:pt>
                <c:pt idx="293">
                  <c:v>0.6</c:v>
                </c:pt>
                <c:pt idx="294">
                  <c:v>0.7</c:v>
                </c:pt>
                <c:pt idx="295">
                  <c:v>0.7</c:v>
                </c:pt>
                <c:pt idx="296">
                  <c:v>0.7</c:v>
                </c:pt>
                <c:pt idx="297">
                  <c:v>0.7</c:v>
                </c:pt>
                <c:pt idx="298">
                  <c:v>0.7</c:v>
                </c:pt>
                <c:pt idx="299">
                  <c:v>0.7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0.9</c:v>
                </c:pt>
                <c:pt idx="307">
                  <c:v>0.9</c:v>
                </c:pt>
                <c:pt idx="308">
                  <c:v>0.9</c:v>
                </c:pt>
                <c:pt idx="309">
                  <c:v>0.9</c:v>
                </c:pt>
                <c:pt idx="310">
                  <c:v>0.9</c:v>
                </c:pt>
                <c:pt idx="311">
                  <c:v>0.9</c:v>
                </c:pt>
                <c:pt idx="312">
                  <c:v>0.6</c:v>
                </c:pt>
                <c:pt idx="313">
                  <c:v>0.6</c:v>
                </c:pt>
                <c:pt idx="314">
                  <c:v>0.6</c:v>
                </c:pt>
                <c:pt idx="315">
                  <c:v>0.6</c:v>
                </c:pt>
                <c:pt idx="316">
                  <c:v>0.6</c:v>
                </c:pt>
                <c:pt idx="317">
                  <c:v>0.6</c:v>
                </c:pt>
                <c:pt idx="318">
                  <c:v>0.7</c:v>
                </c:pt>
                <c:pt idx="319">
                  <c:v>0.7</c:v>
                </c:pt>
                <c:pt idx="320">
                  <c:v>0.7</c:v>
                </c:pt>
                <c:pt idx="321">
                  <c:v>0.7</c:v>
                </c:pt>
                <c:pt idx="322">
                  <c:v>0.7</c:v>
                </c:pt>
                <c:pt idx="323">
                  <c:v>0.7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0.9</c:v>
                </c:pt>
                <c:pt idx="331">
                  <c:v>0.9</c:v>
                </c:pt>
                <c:pt idx="332">
                  <c:v>0.9</c:v>
                </c:pt>
                <c:pt idx="333">
                  <c:v>0.9</c:v>
                </c:pt>
                <c:pt idx="334">
                  <c:v>0.9</c:v>
                </c:pt>
                <c:pt idx="335">
                  <c:v>0.9</c:v>
                </c:pt>
                <c:pt idx="336">
                  <c:v>0.6</c:v>
                </c:pt>
                <c:pt idx="337">
                  <c:v>0.6</c:v>
                </c:pt>
                <c:pt idx="338">
                  <c:v>0.6</c:v>
                </c:pt>
                <c:pt idx="339">
                  <c:v>0.6</c:v>
                </c:pt>
                <c:pt idx="340">
                  <c:v>0.6</c:v>
                </c:pt>
                <c:pt idx="341">
                  <c:v>0.6</c:v>
                </c:pt>
                <c:pt idx="342">
                  <c:v>0.7</c:v>
                </c:pt>
                <c:pt idx="343">
                  <c:v>0.7</c:v>
                </c:pt>
                <c:pt idx="344">
                  <c:v>0.7</c:v>
                </c:pt>
                <c:pt idx="345">
                  <c:v>0.7</c:v>
                </c:pt>
                <c:pt idx="346">
                  <c:v>0.7</c:v>
                </c:pt>
                <c:pt idx="347">
                  <c:v>0.7</c:v>
                </c:pt>
                <c:pt idx="348">
                  <c:v>0.8</c:v>
                </c:pt>
                <c:pt idx="349">
                  <c:v>0.8</c:v>
                </c:pt>
                <c:pt idx="350">
                  <c:v>0.8</c:v>
                </c:pt>
                <c:pt idx="351">
                  <c:v>0.8</c:v>
                </c:pt>
                <c:pt idx="352">
                  <c:v>0.8</c:v>
                </c:pt>
                <c:pt idx="353">
                  <c:v>0.8</c:v>
                </c:pt>
                <c:pt idx="354">
                  <c:v>0.9</c:v>
                </c:pt>
                <c:pt idx="355">
                  <c:v>0.9</c:v>
                </c:pt>
                <c:pt idx="356">
                  <c:v>0.9</c:v>
                </c:pt>
                <c:pt idx="357">
                  <c:v>0.9</c:v>
                </c:pt>
                <c:pt idx="358">
                  <c:v>0.9</c:v>
                </c:pt>
                <c:pt idx="359">
                  <c:v>0.9</c:v>
                </c:pt>
                <c:pt idx="360">
                  <c:v>0.6</c:v>
                </c:pt>
                <c:pt idx="361">
                  <c:v>0.6</c:v>
                </c:pt>
                <c:pt idx="362">
                  <c:v>0.6</c:v>
                </c:pt>
                <c:pt idx="363">
                  <c:v>0.6</c:v>
                </c:pt>
                <c:pt idx="364">
                  <c:v>0.6</c:v>
                </c:pt>
                <c:pt idx="365">
                  <c:v>0.6</c:v>
                </c:pt>
                <c:pt idx="366">
                  <c:v>0.7</c:v>
                </c:pt>
                <c:pt idx="367">
                  <c:v>0.7</c:v>
                </c:pt>
                <c:pt idx="368">
                  <c:v>0.7</c:v>
                </c:pt>
                <c:pt idx="369">
                  <c:v>0.7</c:v>
                </c:pt>
                <c:pt idx="370">
                  <c:v>0.7</c:v>
                </c:pt>
                <c:pt idx="371">
                  <c:v>0.7</c:v>
                </c:pt>
                <c:pt idx="372">
                  <c:v>0.8</c:v>
                </c:pt>
                <c:pt idx="373">
                  <c:v>0.8</c:v>
                </c:pt>
                <c:pt idx="374">
                  <c:v>0.8</c:v>
                </c:pt>
                <c:pt idx="375">
                  <c:v>0.8</c:v>
                </c:pt>
                <c:pt idx="376">
                  <c:v>0.8</c:v>
                </c:pt>
                <c:pt idx="377">
                  <c:v>0.8</c:v>
                </c:pt>
                <c:pt idx="378">
                  <c:v>0.9</c:v>
                </c:pt>
                <c:pt idx="379">
                  <c:v>0.9</c:v>
                </c:pt>
                <c:pt idx="380">
                  <c:v>0.9</c:v>
                </c:pt>
                <c:pt idx="381">
                  <c:v>0.9</c:v>
                </c:pt>
                <c:pt idx="382">
                  <c:v>0.9</c:v>
                </c:pt>
                <c:pt idx="383">
                  <c:v>0.9</c:v>
                </c:pt>
                <c:pt idx="384">
                  <c:v>0.6</c:v>
                </c:pt>
                <c:pt idx="385">
                  <c:v>0.6</c:v>
                </c:pt>
                <c:pt idx="386">
                  <c:v>0.6</c:v>
                </c:pt>
                <c:pt idx="387">
                  <c:v>0.6</c:v>
                </c:pt>
                <c:pt idx="388">
                  <c:v>0.6</c:v>
                </c:pt>
                <c:pt idx="389">
                  <c:v>0.6</c:v>
                </c:pt>
                <c:pt idx="390">
                  <c:v>0.7</c:v>
                </c:pt>
                <c:pt idx="391">
                  <c:v>0.7</c:v>
                </c:pt>
                <c:pt idx="392">
                  <c:v>0.7</c:v>
                </c:pt>
                <c:pt idx="393">
                  <c:v>0.7</c:v>
                </c:pt>
                <c:pt idx="394">
                  <c:v>0.7</c:v>
                </c:pt>
                <c:pt idx="395">
                  <c:v>0.7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0.9</c:v>
                </c:pt>
                <c:pt idx="403">
                  <c:v>0.9</c:v>
                </c:pt>
                <c:pt idx="404">
                  <c:v>0.9</c:v>
                </c:pt>
                <c:pt idx="405">
                  <c:v>0.9</c:v>
                </c:pt>
                <c:pt idx="406">
                  <c:v>0.9</c:v>
                </c:pt>
                <c:pt idx="407">
                  <c:v>0.9</c:v>
                </c:pt>
                <c:pt idx="408">
                  <c:v>0.6</c:v>
                </c:pt>
                <c:pt idx="409">
                  <c:v>0.6</c:v>
                </c:pt>
                <c:pt idx="410">
                  <c:v>0.6</c:v>
                </c:pt>
                <c:pt idx="411">
                  <c:v>0.6</c:v>
                </c:pt>
                <c:pt idx="412">
                  <c:v>0.6</c:v>
                </c:pt>
                <c:pt idx="413">
                  <c:v>0.6</c:v>
                </c:pt>
                <c:pt idx="414">
                  <c:v>0.7</c:v>
                </c:pt>
                <c:pt idx="415">
                  <c:v>0.7</c:v>
                </c:pt>
                <c:pt idx="416">
                  <c:v>0.7</c:v>
                </c:pt>
                <c:pt idx="417">
                  <c:v>0.7</c:v>
                </c:pt>
                <c:pt idx="418">
                  <c:v>0.7</c:v>
                </c:pt>
                <c:pt idx="419">
                  <c:v>0.7</c:v>
                </c:pt>
                <c:pt idx="420">
                  <c:v>0.8</c:v>
                </c:pt>
                <c:pt idx="421">
                  <c:v>0.8</c:v>
                </c:pt>
                <c:pt idx="422">
                  <c:v>0.8</c:v>
                </c:pt>
                <c:pt idx="423">
                  <c:v>0.8</c:v>
                </c:pt>
                <c:pt idx="424">
                  <c:v>0.8</c:v>
                </c:pt>
                <c:pt idx="425">
                  <c:v>0.8</c:v>
                </c:pt>
                <c:pt idx="426">
                  <c:v>0.9</c:v>
                </c:pt>
                <c:pt idx="427">
                  <c:v>0.9</c:v>
                </c:pt>
                <c:pt idx="428">
                  <c:v>0.9</c:v>
                </c:pt>
                <c:pt idx="429">
                  <c:v>0.9</c:v>
                </c:pt>
                <c:pt idx="430">
                  <c:v>0.9</c:v>
                </c:pt>
                <c:pt idx="431">
                  <c:v>0.9</c:v>
                </c:pt>
                <c:pt idx="432">
                  <c:v>0.6</c:v>
                </c:pt>
                <c:pt idx="433">
                  <c:v>0.6</c:v>
                </c:pt>
                <c:pt idx="434">
                  <c:v>0.6</c:v>
                </c:pt>
                <c:pt idx="435">
                  <c:v>0.6</c:v>
                </c:pt>
                <c:pt idx="436">
                  <c:v>0.6</c:v>
                </c:pt>
                <c:pt idx="437">
                  <c:v>0.6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0.8</c:v>
                </c:pt>
                <c:pt idx="445">
                  <c:v>0.8</c:v>
                </c:pt>
                <c:pt idx="446">
                  <c:v>0.8</c:v>
                </c:pt>
                <c:pt idx="447">
                  <c:v>0.8</c:v>
                </c:pt>
                <c:pt idx="448">
                  <c:v>0.8</c:v>
                </c:pt>
                <c:pt idx="449">
                  <c:v>0.8</c:v>
                </c:pt>
                <c:pt idx="450">
                  <c:v>0.9</c:v>
                </c:pt>
                <c:pt idx="451">
                  <c:v>0.9</c:v>
                </c:pt>
                <c:pt idx="452">
                  <c:v>0.9</c:v>
                </c:pt>
                <c:pt idx="453">
                  <c:v>0.9</c:v>
                </c:pt>
                <c:pt idx="454">
                  <c:v>0.9</c:v>
                </c:pt>
                <c:pt idx="455">
                  <c:v>0.9</c:v>
                </c:pt>
                <c:pt idx="456">
                  <c:v>0.6</c:v>
                </c:pt>
                <c:pt idx="457">
                  <c:v>0.6</c:v>
                </c:pt>
                <c:pt idx="458">
                  <c:v>0.6</c:v>
                </c:pt>
                <c:pt idx="459">
                  <c:v>0.6</c:v>
                </c:pt>
                <c:pt idx="460">
                  <c:v>0.6</c:v>
                </c:pt>
                <c:pt idx="461">
                  <c:v>0.6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0.8</c:v>
                </c:pt>
                <c:pt idx="469">
                  <c:v>0.8</c:v>
                </c:pt>
                <c:pt idx="470">
                  <c:v>0.8</c:v>
                </c:pt>
                <c:pt idx="471">
                  <c:v>0.8</c:v>
                </c:pt>
                <c:pt idx="472">
                  <c:v>0.8</c:v>
                </c:pt>
                <c:pt idx="473">
                  <c:v>0.8</c:v>
                </c:pt>
                <c:pt idx="474">
                  <c:v>0.9</c:v>
                </c:pt>
                <c:pt idx="475">
                  <c:v>0.9</c:v>
                </c:pt>
                <c:pt idx="476">
                  <c:v>0.9</c:v>
                </c:pt>
                <c:pt idx="477">
                  <c:v>0.9</c:v>
                </c:pt>
                <c:pt idx="478">
                  <c:v>0.9</c:v>
                </c:pt>
                <c:pt idx="479">
                  <c:v>0.9</c:v>
                </c:pt>
                <c:pt idx="480">
                  <c:v>0.6</c:v>
                </c:pt>
                <c:pt idx="481">
                  <c:v>0.6</c:v>
                </c:pt>
                <c:pt idx="482">
                  <c:v>0.6</c:v>
                </c:pt>
                <c:pt idx="483">
                  <c:v>0.6</c:v>
                </c:pt>
                <c:pt idx="484">
                  <c:v>0.6</c:v>
                </c:pt>
                <c:pt idx="485">
                  <c:v>0.6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0.8</c:v>
                </c:pt>
                <c:pt idx="493">
                  <c:v>0.8</c:v>
                </c:pt>
                <c:pt idx="494">
                  <c:v>0.8</c:v>
                </c:pt>
                <c:pt idx="495">
                  <c:v>0.8</c:v>
                </c:pt>
                <c:pt idx="496">
                  <c:v>0.8</c:v>
                </c:pt>
                <c:pt idx="497">
                  <c:v>0.8</c:v>
                </c:pt>
                <c:pt idx="498">
                  <c:v>0.9</c:v>
                </c:pt>
                <c:pt idx="499">
                  <c:v>0.9</c:v>
                </c:pt>
                <c:pt idx="500">
                  <c:v>0.9</c:v>
                </c:pt>
                <c:pt idx="501">
                  <c:v>0.9</c:v>
                </c:pt>
                <c:pt idx="502">
                  <c:v>0.9</c:v>
                </c:pt>
                <c:pt idx="503">
                  <c:v>0.9</c:v>
                </c:pt>
              </c:numCache>
            </c:numRef>
          </c:xVal>
          <c:yVal>
            <c:numRef>
              <c:f>CSR_VBM!$L$2:$L$505</c:f>
              <c:numCache>
                <c:formatCode>0.00</c:formatCode>
                <c:ptCount val="504"/>
                <c:pt idx="0">
                  <c:v>128096.44505350957</c:v>
                </c:pt>
                <c:pt idx="1">
                  <c:v>116451.31368500869</c:v>
                </c:pt>
                <c:pt idx="2">
                  <c:v>106747.03754459129</c:v>
                </c:pt>
                <c:pt idx="3">
                  <c:v>98535.726964238114</c:v>
                </c:pt>
                <c:pt idx="4">
                  <c:v>91497.460752506828</c:v>
                </c:pt>
                <c:pt idx="5">
                  <c:v>85397.63003567305</c:v>
                </c:pt>
                <c:pt idx="6">
                  <c:v>149445.85256242781</c:v>
                </c:pt>
                <c:pt idx="7">
                  <c:v>135859.86596584346</c:v>
                </c:pt>
                <c:pt idx="8">
                  <c:v>124538.21046868984</c:v>
                </c:pt>
                <c:pt idx="9">
                  <c:v>114958.34812494447</c:v>
                </c:pt>
                <c:pt idx="10">
                  <c:v>106747.03754459129</c:v>
                </c:pt>
                <c:pt idx="11">
                  <c:v>99630.568374951879</c:v>
                </c:pt>
                <c:pt idx="12">
                  <c:v>170795.2600713461</c:v>
                </c:pt>
                <c:pt idx="13">
                  <c:v>155268.41824667828</c:v>
                </c:pt>
                <c:pt idx="14">
                  <c:v>142329.38339278841</c:v>
                </c:pt>
                <c:pt idx="15">
                  <c:v>131380.96928565085</c:v>
                </c:pt>
                <c:pt idx="16">
                  <c:v>121996.61433667579</c:v>
                </c:pt>
                <c:pt idx="17">
                  <c:v>113863.50671423074</c:v>
                </c:pt>
                <c:pt idx="18">
                  <c:v>192144.66758026436</c:v>
                </c:pt>
                <c:pt idx="19">
                  <c:v>174676.97052751304</c:v>
                </c:pt>
                <c:pt idx="20">
                  <c:v>160120.55631688694</c:v>
                </c:pt>
                <c:pt idx="21">
                  <c:v>147803.59044635718</c:v>
                </c:pt>
                <c:pt idx="22">
                  <c:v>137246.19112876026</c:v>
                </c:pt>
                <c:pt idx="23">
                  <c:v>128096.44505350957</c:v>
                </c:pt>
                <c:pt idx="24">
                  <c:v>211862.72636955002</c:v>
                </c:pt>
                <c:pt idx="25">
                  <c:v>192602.47851777272</c:v>
                </c:pt>
                <c:pt idx="26">
                  <c:v>176552.27197462501</c:v>
                </c:pt>
                <c:pt idx="27">
                  <c:v>162971.3279765769</c:v>
                </c:pt>
                <c:pt idx="28">
                  <c:v>151330.51883539284</c:v>
                </c:pt>
                <c:pt idx="29">
                  <c:v>141241.8175797</c:v>
                </c:pt>
                <c:pt idx="30">
                  <c:v>247173.18076447499</c:v>
                </c:pt>
                <c:pt idx="31">
                  <c:v>224702.89160406817</c:v>
                </c:pt>
                <c:pt idx="32">
                  <c:v>205977.6506370625</c:v>
                </c:pt>
                <c:pt idx="33">
                  <c:v>190133.21597267306</c:v>
                </c:pt>
                <c:pt idx="34">
                  <c:v>176552.27197462498</c:v>
                </c:pt>
                <c:pt idx="35">
                  <c:v>164782.12050964998</c:v>
                </c:pt>
                <c:pt idx="36">
                  <c:v>282483.6351594</c:v>
                </c:pt>
                <c:pt idx="37">
                  <c:v>256803.30469036364</c:v>
                </c:pt>
                <c:pt idx="38">
                  <c:v>235403.02929950005</c:v>
                </c:pt>
                <c:pt idx="39">
                  <c:v>217295.10396876922</c:v>
                </c:pt>
                <c:pt idx="40">
                  <c:v>201774.02511385715</c:v>
                </c:pt>
                <c:pt idx="41">
                  <c:v>188322.42343960001</c:v>
                </c:pt>
                <c:pt idx="42">
                  <c:v>317794.08955432504</c:v>
                </c:pt>
                <c:pt idx="43">
                  <c:v>288903.71777665912</c:v>
                </c:pt>
                <c:pt idx="44">
                  <c:v>264828.40796193754</c:v>
                </c:pt>
                <c:pt idx="45">
                  <c:v>244456.99196486539</c:v>
                </c:pt>
                <c:pt idx="46">
                  <c:v>226995.77825308929</c:v>
                </c:pt>
                <c:pt idx="47">
                  <c:v>211862.72636954999</c:v>
                </c:pt>
                <c:pt idx="48">
                  <c:v>328387.49934689404</c:v>
                </c:pt>
                <c:pt idx="49">
                  <c:v>298534.09031535819</c:v>
                </c:pt>
                <c:pt idx="50">
                  <c:v>273656.24945574504</c:v>
                </c:pt>
                <c:pt idx="51">
                  <c:v>252605.76872838</c:v>
                </c:pt>
                <c:pt idx="52">
                  <c:v>234562.49953349575</c:v>
                </c:pt>
                <c:pt idx="53">
                  <c:v>218924.99956459602</c:v>
                </c:pt>
                <c:pt idx="54">
                  <c:v>383118.74923804303</c:v>
                </c:pt>
                <c:pt idx="55">
                  <c:v>348289.77203458454</c:v>
                </c:pt>
                <c:pt idx="56">
                  <c:v>319265.62436503585</c:v>
                </c:pt>
                <c:pt idx="57">
                  <c:v>294706.73018310999</c:v>
                </c:pt>
                <c:pt idx="58">
                  <c:v>273656.24945574504</c:v>
                </c:pt>
                <c:pt idx="59">
                  <c:v>255412.4994920287</c:v>
                </c:pt>
                <c:pt idx="60">
                  <c:v>437849.99912919209</c:v>
                </c:pt>
                <c:pt idx="61">
                  <c:v>398045.45375381096</c:v>
                </c:pt>
                <c:pt idx="62">
                  <c:v>364874.99927432672</c:v>
                </c:pt>
                <c:pt idx="63">
                  <c:v>336807.69163784006</c:v>
                </c:pt>
                <c:pt idx="64">
                  <c:v>312749.99937799433</c:v>
                </c:pt>
                <c:pt idx="65">
                  <c:v>291899.99941946141</c:v>
                </c:pt>
                <c:pt idx="66">
                  <c:v>492581.24902034109</c:v>
                </c:pt>
                <c:pt idx="67">
                  <c:v>447801.13547303731</c:v>
                </c:pt>
                <c:pt idx="68">
                  <c:v>410484.37418361759</c:v>
                </c:pt>
                <c:pt idx="69">
                  <c:v>378908.65309257002</c:v>
                </c:pt>
                <c:pt idx="70">
                  <c:v>351843.74930024362</c:v>
                </c:pt>
                <c:pt idx="71">
                  <c:v>328387.49934689404</c:v>
                </c:pt>
                <c:pt idx="72">
                  <c:v>484143.32928423159</c:v>
                </c:pt>
                <c:pt idx="73">
                  <c:v>440130.29934930144</c:v>
                </c:pt>
                <c:pt idx="74">
                  <c:v>403452.77440352633</c:v>
                </c:pt>
                <c:pt idx="75">
                  <c:v>372417.94560325512</c:v>
                </c:pt>
                <c:pt idx="76">
                  <c:v>345816.66377445118</c:v>
                </c:pt>
                <c:pt idx="77">
                  <c:v>322762.21952282108</c:v>
                </c:pt>
                <c:pt idx="78">
                  <c:v>564833.88416493684</c:v>
                </c:pt>
                <c:pt idx="79">
                  <c:v>513485.3492408517</c:v>
                </c:pt>
                <c:pt idx="80">
                  <c:v>470694.9034707807</c:v>
                </c:pt>
                <c:pt idx="81">
                  <c:v>434487.6032037976</c:v>
                </c:pt>
                <c:pt idx="82">
                  <c:v>403452.77440352633</c:v>
                </c:pt>
                <c:pt idx="83">
                  <c:v>376555.92277662462</c:v>
                </c:pt>
                <c:pt idx="84">
                  <c:v>645524.43904564215</c:v>
                </c:pt>
                <c:pt idx="85">
                  <c:v>586840.39913240203</c:v>
                </c:pt>
                <c:pt idx="86">
                  <c:v>537937.03253803519</c:v>
                </c:pt>
                <c:pt idx="87">
                  <c:v>496557.26080434019</c:v>
                </c:pt>
                <c:pt idx="88">
                  <c:v>461088.8850326016</c:v>
                </c:pt>
                <c:pt idx="89">
                  <c:v>430349.62603042816</c:v>
                </c:pt>
                <c:pt idx="90">
                  <c:v>726214.99392634747</c:v>
                </c:pt>
                <c:pt idx="91">
                  <c:v>660195.44902395224</c:v>
                </c:pt>
                <c:pt idx="92">
                  <c:v>605179.16160528956</c:v>
                </c:pt>
                <c:pt idx="93">
                  <c:v>558626.91840488266</c:v>
                </c:pt>
                <c:pt idx="94">
                  <c:v>518724.99566167674</c:v>
                </c:pt>
                <c:pt idx="95">
                  <c:v>484143.3292842317</c:v>
                </c:pt>
                <c:pt idx="96">
                  <c:v>685846.32321962574</c:v>
                </c:pt>
                <c:pt idx="97">
                  <c:v>623496.65747238707</c:v>
                </c:pt>
                <c:pt idx="98">
                  <c:v>571538.60268302145</c:v>
                </c:pt>
                <c:pt idx="99">
                  <c:v>527574.09478432743</c:v>
                </c:pt>
                <c:pt idx="100">
                  <c:v>489890.23087116121</c:v>
                </c:pt>
                <c:pt idx="101">
                  <c:v>457230.88214641716</c:v>
                </c:pt>
                <c:pt idx="102">
                  <c:v>800154.04375623004</c:v>
                </c:pt>
                <c:pt idx="103">
                  <c:v>727412.76705111819</c:v>
                </c:pt>
                <c:pt idx="104">
                  <c:v>666795.03646352503</c:v>
                </c:pt>
                <c:pt idx="105">
                  <c:v>615503.11058171536</c:v>
                </c:pt>
                <c:pt idx="106">
                  <c:v>571538.60268302145</c:v>
                </c:pt>
                <c:pt idx="107">
                  <c:v>533436.02917082002</c:v>
                </c:pt>
                <c:pt idx="108">
                  <c:v>914461.76429283433</c:v>
                </c:pt>
                <c:pt idx="109">
                  <c:v>831328.87662984943</c:v>
                </c:pt>
                <c:pt idx="110">
                  <c:v>762051.47024402861</c:v>
                </c:pt>
                <c:pt idx="111">
                  <c:v>703432.1263791034</c:v>
                </c:pt>
                <c:pt idx="112">
                  <c:v>653186.9744948817</c:v>
                </c:pt>
                <c:pt idx="113">
                  <c:v>609641.17619522288</c:v>
                </c:pt>
                <c:pt idx="114">
                  <c:v>1028769.4848294386</c:v>
                </c:pt>
                <c:pt idx="115">
                  <c:v>935244.98620858067</c:v>
                </c:pt>
                <c:pt idx="116">
                  <c:v>857307.90402453218</c:v>
                </c:pt>
                <c:pt idx="117">
                  <c:v>791361.14217649121</c:v>
                </c:pt>
                <c:pt idx="118">
                  <c:v>734835.34630674182</c:v>
                </c:pt>
                <c:pt idx="119">
                  <c:v>685846.32321962574</c:v>
                </c:pt>
                <c:pt idx="120">
                  <c:v>940367.39514976682</c:v>
                </c:pt>
                <c:pt idx="121">
                  <c:v>854879.45013615163</c:v>
                </c:pt>
                <c:pt idx="122">
                  <c:v>783639.49595813896</c:v>
                </c:pt>
                <c:pt idx="123">
                  <c:v>723359.53473058972</c:v>
                </c:pt>
                <c:pt idx="124">
                  <c:v>671690.99653554778</c:v>
                </c:pt>
                <c:pt idx="125">
                  <c:v>626911.59676651121</c:v>
                </c:pt>
                <c:pt idx="126">
                  <c:v>1097095.2943413947</c:v>
                </c:pt>
                <c:pt idx="127">
                  <c:v>997359.35849217686</c:v>
                </c:pt>
                <c:pt idx="128">
                  <c:v>914246.07861782878</c:v>
                </c:pt>
                <c:pt idx="129">
                  <c:v>843919.45718568796</c:v>
                </c:pt>
                <c:pt idx="130">
                  <c:v>783639.49595813907</c:v>
                </c:pt>
                <c:pt idx="131">
                  <c:v>731396.86289426312</c:v>
                </c:pt>
                <c:pt idx="132">
                  <c:v>1253823.1935330227</c:v>
                </c:pt>
                <c:pt idx="133">
                  <c:v>1139839.2668482023</c:v>
                </c:pt>
                <c:pt idx="134">
                  <c:v>1044852.6612775186</c:v>
                </c:pt>
                <c:pt idx="135">
                  <c:v>964479.37964078644</c:v>
                </c:pt>
                <c:pt idx="136">
                  <c:v>895587.99538073037</c:v>
                </c:pt>
                <c:pt idx="137">
                  <c:v>835882.12902201503</c:v>
                </c:pt>
                <c:pt idx="138">
                  <c:v>1410551.0927246504</c:v>
                </c:pt>
                <c:pt idx="139">
                  <c:v>1282319.1752042274</c:v>
                </c:pt>
                <c:pt idx="140">
                  <c:v>1175459.2439372086</c:v>
                </c:pt>
                <c:pt idx="141">
                  <c:v>1085039.3020958847</c:v>
                </c:pt>
                <c:pt idx="142">
                  <c:v>1007536.4948033217</c:v>
                </c:pt>
                <c:pt idx="143">
                  <c:v>940367.39514976682</c:v>
                </c:pt>
                <c:pt idx="144">
                  <c:v>1254630.1214821467</c:v>
                </c:pt>
                <c:pt idx="145">
                  <c:v>1140572.8377110423</c:v>
                </c:pt>
                <c:pt idx="146">
                  <c:v>1045525.1012351221</c:v>
                </c:pt>
                <c:pt idx="147">
                  <c:v>965100.09344780515</c:v>
                </c:pt>
                <c:pt idx="148">
                  <c:v>896164.37248724757</c:v>
                </c:pt>
                <c:pt idx="149">
                  <c:v>836420.08098809759</c:v>
                </c:pt>
                <c:pt idx="150">
                  <c:v>1463735.1417291709</c:v>
                </c:pt>
                <c:pt idx="151">
                  <c:v>1330668.3106628826</c:v>
                </c:pt>
                <c:pt idx="152">
                  <c:v>1219779.284774309</c:v>
                </c:pt>
                <c:pt idx="153">
                  <c:v>1125950.1090224392</c:v>
                </c:pt>
                <c:pt idx="154">
                  <c:v>1045525.1012351221</c:v>
                </c:pt>
                <c:pt idx="155">
                  <c:v>975823.42781944724</c:v>
                </c:pt>
                <c:pt idx="156">
                  <c:v>1672840.1619761956</c:v>
                </c:pt>
                <c:pt idx="157">
                  <c:v>1520763.7836147232</c:v>
                </c:pt>
                <c:pt idx="158">
                  <c:v>1394033.4683134963</c:v>
                </c:pt>
                <c:pt idx="159">
                  <c:v>1286800.1245970735</c:v>
                </c:pt>
                <c:pt idx="160">
                  <c:v>1194885.8299829967</c:v>
                </c:pt>
                <c:pt idx="161">
                  <c:v>1115226.774650797</c:v>
                </c:pt>
                <c:pt idx="162">
                  <c:v>1881945.1822232199</c:v>
                </c:pt>
                <c:pt idx="163">
                  <c:v>1710859.2565665636</c:v>
                </c:pt>
                <c:pt idx="164">
                  <c:v>1568287.6518526832</c:v>
                </c:pt>
                <c:pt idx="165">
                  <c:v>1447650.1401717078</c:v>
                </c:pt>
                <c:pt idx="166">
                  <c:v>1344246.5587308714</c:v>
                </c:pt>
                <c:pt idx="167">
                  <c:v>1254630.1214821464</c:v>
                </c:pt>
                <c:pt idx="168">
                  <c:v>1635490.0799085773</c:v>
                </c:pt>
                <c:pt idx="169">
                  <c:v>1486809.1635532521</c:v>
                </c:pt>
                <c:pt idx="170">
                  <c:v>1362908.3999238142</c:v>
                </c:pt>
                <c:pt idx="171">
                  <c:v>1258069.292237367</c:v>
                </c:pt>
                <c:pt idx="172">
                  <c:v>1168207.1999346982</c:v>
                </c:pt>
                <c:pt idx="173">
                  <c:v>1090326.7199390514</c:v>
                </c:pt>
                <c:pt idx="174">
                  <c:v>1908071.7598933401</c:v>
                </c:pt>
                <c:pt idx="175">
                  <c:v>1734610.6908121274</c:v>
                </c:pt>
                <c:pt idx="176">
                  <c:v>1590059.7999111167</c:v>
                </c:pt>
                <c:pt idx="177">
                  <c:v>1467747.5076102614</c:v>
                </c:pt>
                <c:pt idx="178">
                  <c:v>1362908.3999238145</c:v>
                </c:pt>
                <c:pt idx="179">
                  <c:v>1272047.8399288934</c:v>
                </c:pt>
                <c:pt idx="180">
                  <c:v>2180653.4398781033</c:v>
                </c:pt>
                <c:pt idx="181">
                  <c:v>1982412.218071003</c:v>
                </c:pt>
                <c:pt idx="182">
                  <c:v>1817211.1998984192</c:v>
                </c:pt>
                <c:pt idx="183">
                  <c:v>1677425.7229831563</c:v>
                </c:pt>
                <c:pt idx="184">
                  <c:v>1557609.599912931</c:v>
                </c:pt>
                <c:pt idx="185">
                  <c:v>1453768.9599187355</c:v>
                </c:pt>
                <c:pt idx="186">
                  <c:v>2453235.1198628661</c:v>
                </c:pt>
                <c:pt idx="187">
                  <c:v>2230213.7453298783</c:v>
                </c:pt>
                <c:pt idx="188">
                  <c:v>2044362.5998857217</c:v>
                </c:pt>
                <c:pt idx="189">
                  <c:v>1887103.9383560508</c:v>
                </c:pt>
                <c:pt idx="190">
                  <c:v>1752310.7999020473</c:v>
                </c:pt>
                <c:pt idx="191">
                  <c:v>1635490.0799085773</c:v>
                </c:pt>
                <c:pt idx="192">
                  <c:v>2089587.386402996</c:v>
                </c:pt>
                <c:pt idx="193">
                  <c:v>1899624.8967299962</c:v>
                </c:pt>
                <c:pt idx="194">
                  <c:v>1741322.8220024966</c:v>
                </c:pt>
                <c:pt idx="195">
                  <c:v>1607374.9126176892</c:v>
                </c:pt>
                <c:pt idx="196">
                  <c:v>1492562.418859283</c:v>
                </c:pt>
                <c:pt idx="197">
                  <c:v>1393058.2576019971</c:v>
                </c:pt>
                <c:pt idx="198">
                  <c:v>2437851.9508034955</c:v>
                </c:pt>
                <c:pt idx="199">
                  <c:v>2216229.0461849957</c:v>
                </c:pt>
                <c:pt idx="200">
                  <c:v>2031543.2923362458</c:v>
                </c:pt>
                <c:pt idx="201">
                  <c:v>1875270.7313873039</c:v>
                </c:pt>
                <c:pt idx="202">
                  <c:v>1741322.8220024968</c:v>
                </c:pt>
                <c:pt idx="203">
                  <c:v>1625234.6338689968</c:v>
                </c:pt>
                <c:pt idx="204">
                  <c:v>2786116.5152039952</c:v>
                </c:pt>
                <c:pt idx="205">
                  <c:v>2532833.1956399954</c:v>
                </c:pt>
                <c:pt idx="206">
                  <c:v>2321763.7626699954</c:v>
                </c:pt>
                <c:pt idx="207">
                  <c:v>2143166.5501569188</c:v>
                </c:pt>
                <c:pt idx="208">
                  <c:v>1990083.2251457106</c:v>
                </c:pt>
                <c:pt idx="209">
                  <c:v>1857411.0101359964</c:v>
                </c:pt>
                <c:pt idx="210">
                  <c:v>3134381.0796044944</c:v>
                </c:pt>
                <c:pt idx="211">
                  <c:v>2849437.3450949946</c:v>
                </c:pt>
                <c:pt idx="212">
                  <c:v>2611984.2330037449</c:v>
                </c:pt>
                <c:pt idx="213">
                  <c:v>2411062.368926534</c:v>
                </c:pt>
                <c:pt idx="214">
                  <c:v>2238843.6282889247</c:v>
                </c:pt>
                <c:pt idx="215">
                  <c:v>2089587.386402996</c:v>
                </c:pt>
                <c:pt idx="216">
                  <c:v>2623158.0299838055</c:v>
                </c:pt>
                <c:pt idx="217">
                  <c:v>2384689.1181670958</c:v>
                </c:pt>
                <c:pt idx="218">
                  <c:v>2185965.0249865046</c:v>
                </c:pt>
                <c:pt idx="219">
                  <c:v>2017813.8692183117</c:v>
                </c:pt>
                <c:pt idx="220">
                  <c:v>1873684.3071312897</c:v>
                </c:pt>
                <c:pt idx="221">
                  <c:v>1748772.0199892037</c:v>
                </c:pt>
                <c:pt idx="222">
                  <c:v>3060351.0349811064</c:v>
                </c:pt>
                <c:pt idx="223">
                  <c:v>2782137.3045282783</c:v>
                </c:pt>
                <c:pt idx="224">
                  <c:v>2550292.5291509219</c:v>
                </c:pt>
                <c:pt idx="225">
                  <c:v>2354116.180754697</c:v>
                </c:pt>
                <c:pt idx="226">
                  <c:v>2185965.0249865046</c:v>
                </c:pt>
                <c:pt idx="227">
                  <c:v>2040234.0233207375</c:v>
                </c:pt>
                <c:pt idx="228">
                  <c:v>3497544.0399784073</c:v>
                </c:pt>
                <c:pt idx="229">
                  <c:v>3179585.4908894617</c:v>
                </c:pt>
                <c:pt idx="230">
                  <c:v>2914620.0333153401</c:v>
                </c:pt>
                <c:pt idx="231">
                  <c:v>2690418.4922910826</c:v>
                </c:pt>
                <c:pt idx="232">
                  <c:v>2498245.7428417201</c:v>
                </c:pt>
                <c:pt idx="233">
                  <c:v>2331696.0266522719</c:v>
                </c:pt>
                <c:pt idx="234">
                  <c:v>3934737.0449757082</c:v>
                </c:pt>
                <c:pt idx="235">
                  <c:v>3577033.6772506442</c:v>
                </c:pt>
                <c:pt idx="236">
                  <c:v>3278947.5374797573</c:v>
                </c:pt>
                <c:pt idx="237">
                  <c:v>3026720.8038274678</c:v>
                </c:pt>
                <c:pt idx="238">
                  <c:v>2810526.4606969347</c:v>
                </c:pt>
                <c:pt idx="239">
                  <c:v>2623158.0299838055</c:v>
                </c:pt>
                <c:pt idx="240">
                  <c:v>3241776.6268154704</c:v>
                </c:pt>
                <c:pt idx="241">
                  <c:v>2947069.6607413366</c:v>
                </c:pt>
                <c:pt idx="242">
                  <c:v>2701480.522346226</c:v>
                </c:pt>
                <c:pt idx="243">
                  <c:v>2493674.3283195929</c:v>
                </c:pt>
                <c:pt idx="244">
                  <c:v>2315554.733439622</c:v>
                </c:pt>
                <c:pt idx="245">
                  <c:v>2161184.4178769807</c:v>
                </c:pt>
                <c:pt idx="246">
                  <c:v>3782072.7312847157</c:v>
                </c:pt>
                <c:pt idx="247">
                  <c:v>3438247.9375315593</c:v>
                </c:pt>
                <c:pt idx="248">
                  <c:v>3151727.2760705967</c:v>
                </c:pt>
                <c:pt idx="249">
                  <c:v>2909286.7163728583</c:v>
                </c:pt>
                <c:pt idx="250">
                  <c:v>2701480.5223462256</c:v>
                </c:pt>
                <c:pt idx="251">
                  <c:v>2521381.8208564771</c:v>
                </c:pt>
                <c:pt idx="252">
                  <c:v>4322368.8357539615</c:v>
                </c:pt>
                <c:pt idx="253">
                  <c:v>3929426.2143217828</c:v>
                </c:pt>
                <c:pt idx="254">
                  <c:v>3601974.0297949682</c:v>
                </c:pt>
                <c:pt idx="255">
                  <c:v>3324899.1044261241</c:v>
                </c:pt>
                <c:pt idx="256">
                  <c:v>3087406.3112528296</c:v>
                </c:pt>
                <c:pt idx="257">
                  <c:v>2881579.2238359745</c:v>
                </c:pt>
                <c:pt idx="258">
                  <c:v>4862664.9402232058</c:v>
                </c:pt>
                <c:pt idx="259">
                  <c:v>4420604.491112005</c:v>
                </c:pt>
                <c:pt idx="260">
                  <c:v>4052220.7835193388</c:v>
                </c:pt>
                <c:pt idx="261">
                  <c:v>3740511.4924793895</c:v>
                </c:pt>
                <c:pt idx="262">
                  <c:v>3473332.1001594332</c:v>
                </c:pt>
                <c:pt idx="263">
                  <c:v>3241776.6268154709</c:v>
                </c:pt>
                <c:pt idx="264">
                  <c:v>3949971.7551492411</c:v>
                </c:pt>
                <c:pt idx="265">
                  <c:v>3590883.4137720377</c:v>
                </c:pt>
                <c:pt idx="266">
                  <c:v>3291643.1292910343</c:v>
                </c:pt>
                <c:pt idx="267">
                  <c:v>3038439.8116532625</c:v>
                </c:pt>
                <c:pt idx="268">
                  <c:v>2821408.3965351726</c:v>
                </c:pt>
                <c:pt idx="269">
                  <c:v>2633314.5034328275</c:v>
                </c:pt>
                <c:pt idx="270">
                  <c:v>4608300.3810074478</c:v>
                </c:pt>
                <c:pt idx="271">
                  <c:v>4189363.9827340436</c:v>
                </c:pt>
                <c:pt idx="272">
                  <c:v>3840250.3175062062</c:v>
                </c:pt>
                <c:pt idx="273">
                  <c:v>3544846.4469288061</c:v>
                </c:pt>
                <c:pt idx="274">
                  <c:v>3291643.1292910343</c:v>
                </c:pt>
                <c:pt idx="275">
                  <c:v>3072200.2540049651</c:v>
                </c:pt>
                <c:pt idx="276">
                  <c:v>5266629.0068656551</c:v>
                </c:pt>
                <c:pt idx="277">
                  <c:v>4787844.55169605</c:v>
                </c:pt>
                <c:pt idx="278">
                  <c:v>4388857.5057213791</c:v>
                </c:pt>
                <c:pt idx="279">
                  <c:v>4051253.0822043503</c:v>
                </c:pt>
                <c:pt idx="280">
                  <c:v>3761877.8620468969</c:v>
                </c:pt>
                <c:pt idx="281">
                  <c:v>3511086.0045771035</c:v>
                </c:pt>
                <c:pt idx="282">
                  <c:v>5924957.6327238623</c:v>
                </c:pt>
                <c:pt idx="283">
                  <c:v>5386325.1206580568</c:v>
                </c:pt>
                <c:pt idx="284">
                  <c:v>4937464.6939365519</c:v>
                </c:pt>
                <c:pt idx="285">
                  <c:v>4557659.7174798939</c:v>
                </c:pt>
                <c:pt idx="286">
                  <c:v>4232112.5948027587</c:v>
                </c:pt>
                <c:pt idx="287">
                  <c:v>3949971.7551492411</c:v>
                </c:pt>
                <c:pt idx="288">
                  <c:v>4750562.4700002791</c:v>
                </c:pt>
                <c:pt idx="289">
                  <c:v>4318693.1545457086</c:v>
                </c:pt>
                <c:pt idx="290">
                  <c:v>3958802.0583335659</c:v>
                </c:pt>
                <c:pt idx="291">
                  <c:v>3654278.823077138</c:v>
                </c:pt>
                <c:pt idx="292">
                  <c:v>3393258.9071430559</c:v>
                </c:pt>
                <c:pt idx="293">
                  <c:v>3167041.6466668528</c:v>
                </c:pt>
                <c:pt idx="294">
                  <c:v>5542322.8816669919</c:v>
                </c:pt>
                <c:pt idx="295">
                  <c:v>5038475.3469699929</c:v>
                </c:pt>
                <c:pt idx="296">
                  <c:v>4618602.4013891602</c:v>
                </c:pt>
                <c:pt idx="297">
                  <c:v>4263325.2935899943</c:v>
                </c:pt>
                <c:pt idx="298">
                  <c:v>3958802.0583335655</c:v>
                </c:pt>
                <c:pt idx="299">
                  <c:v>3694881.9211113281</c:v>
                </c:pt>
                <c:pt idx="300">
                  <c:v>6334083.2933337055</c:v>
                </c:pt>
                <c:pt idx="301">
                  <c:v>5758257.5393942781</c:v>
                </c:pt>
                <c:pt idx="302">
                  <c:v>5278402.7444447549</c:v>
                </c:pt>
                <c:pt idx="303">
                  <c:v>4872371.764102851</c:v>
                </c:pt>
                <c:pt idx="304">
                  <c:v>4524345.2095240755</c:v>
                </c:pt>
                <c:pt idx="305">
                  <c:v>4222722.1955558043</c:v>
                </c:pt>
                <c:pt idx="306">
                  <c:v>7125843.7050004192</c:v>
                </c:pt>
                <c:pt idx="307">
                  <c:v>6478039.7318185633</c:v>
                </c:pt>
                <c:pt idx="308">
                  <c:v>5938203.0875003496</c:v>
                </c:pt>
                <c:pt idx="309">
                  <c:v>5481418.2346157078</c:v>
                </c:pt>
                <c:pt idx="310">
                  <c:v>5089888.3607145846</c:v>
                </c:pt>
                <c:pt idx="311">
                  <c:v>4750562.4700002791</c:v>
                </c:pt>
                <c:pt idx="312">
                  <c:v>5643188.1254433375</c:v>
                </c:pt>
                <c:pt idx="313">
                  <c:v>5130171.023130306</c:v>
                </c:pt>
                <c:pt idx="314">
                  <c:v>4702656.7712027812</c:v>
                </c:pt>
                <c:pt idx="315">
                  <c:v>4340913.9426487209</c:v>
                </c:pt>
                <c:pt idx="316">
                  <c:v>4030848.6610309551</c:v>
                </c:pt>
                <c:pt idx="317">
                  <c:v>3762125.416962225</c:v>
                </c:pt>
                <c:pt idx="318">
                  <c:v>6583719.4796838937</c:v>
                </c:pt>
                <c:pt idx="319">
                  <c:v>5985199.5269853575</c:v>
                </c:pt>
                <c:pt idx="320">
                  <c:v>5486432.8997365776</c:v>
                </c:pt>
                <c:pt idx="321">
                  <c:v>5064399.5997568406</c:v>
                </c:pt>
                <c:pt idx="322">
                  <c:v>4702656.7712027812</c:v>
                </c:pt>
                <c:pt idx="323">
                  <c:v>4389146.3197892625</c:v>
                </c:pt>
                <c:pt idx="324">
                  <c:v>7524250.83392445</c:v>
                </c:pt>
                <c:pt idx="325">
                  <c:v>6840228.030840409</c:v>
                </c:pt>
                <c:pt idx="326">
                  <c:v>6270209.028270375</c:v>
                </c:pt>
                <c:pt idx="327">
                  <c:v>5787885.2568649612</c:v>
                </c:pt>
                <c:pt idx="328">
                  <c:v>5374464.8813746078</c:v>
                </c:pt>
                <c:pt idx="329">
                  <c:v>5016167.2226163</c:v>
                </c:pt>
                <c:pt idx="330">
                  <c:v>8464782.1881650072</c:v>
                </c:pt>
                <c:pt idx="331">
                  <c:v>7695256.5346954605</c:v>
                </c:pt>
                <c:pt idx="332">
                  <c:v>7053985.1568041723</c:v>
                </c:pt>
                <c:pt idx="333">
                  <c:v>6511370.9139730819</c:v>
                </c:pt>
                <c:pt idx="334">
                  <c:v>6046272.9915464334</c:v>
                </c:pt>
                <c:pt idx="335">
                  <c:v>5643188.1254433375</c:v>
                </c:pt>
                <c:pt idx="336">
                  <c:v>6617700</c:v>
                </c:pt>
                <c:pt idx="337">
                  <c:v>6016090.9090909092</c:v>
                </c:pt>
                <c:pt idx="338">
                  <c:v>5514750</c:v>
                </c:pt>
                <c:pt idx="339">
                  <c:v>5090538.461538462</c:v>
                </c:pt>
                <c:pt idx="340">
                  <c:v>4726928.5714285709</c:v>
                </c:pt>
                <c:pt idx="341">
                  <c:v>4411800</c:v>
                </c:pt>
                <c:pt idx="342">
                  <c:v>7720649.9999999991</c:v>
                </c:pt>
                <c:pt idx="343">
                  <c:v>7018772.7272727266</c:v>
                </c:pt>
                <c:pt idx="344">
                  <c:v>6433875</c:v>
                </c:pt>
                <c:pt idx="345">
                  <c:v>5938961.538461539</c:v>
                </c:pt>
                <c:pt idx="346">
                  <c:v>5514749.9999999991</c:v>
                </c:pt>
                <c:pt idx="347">
                  <c:v>5147100</c:v>
                </c:pt>
                <c:pt idx="348">
                  <c:v>8823600</c:v>
                </c:pt>
                <c:pt idx="349">
                  <c:v>8021454.5454545459</c:v>
                </c:pt>
                <c:pt idx="350">
                  <c:v>7353000</c:v>
                </c:pt>
                <c:pt idx="351">
                  <c:v>6787384.615384616</c:v>
                </c:pt>
                <c:pt idx="352">
                  <c:v>6302571.4285714291</c:v>
                </c:pt>
                <c:pt idx="353">
                  <c:v>5882400</c:v>
                </c:pt>
                <c:pt idx="354">
                  <c:v>9926550</c:v>
                </c:pt>
                <c:pt idx="355">
                  <c:v>9024136.3636363633</c:v>
                </c:pt>
                <c:pt idx="356">
                  <c:v>8272125</c:v>
                </c:pt>
                <c:pt idx="357">
                  <c:v>7635807.692307693</c:v>
                </c:pt>
                <c:pt idx="358">
                  <c:v>7090392.8571428573</c:v>
                </c:pt>
                <c:pt idx="359">
                  <c:v>6617700</c:v>
                </c:pt>
                <c:pt idx="360">
                  <c:v>7660814.9624999994</c:v>
                </c:pt>
                <c:pt idx="361">
                  <c:v>6964377.2386363642</c:v>
                </c:pt>
                <c:pt idx="362">
                  <c:v>6384012.46875</c:v>
                </c:pt>
                <c:pt idx="363">
                  <c:v>5892934.586538461</c:v>
                </c:pt>
                <c:pt idx="364">
                  <c:v>5472010.6875</c:v>
                </c:pt>
                <c:pt idx="365">
                  <c:v>5107209.9749999996</c:v>
                </c:pt>
                <c:pt idx="366">
                  <c:v>8937617.4562499989</c:v>
                </c:pt>
                <c:pt idx="367">
                  <c:v>8125106.7784090908</c:v>
                </c:pt>
                <c:pt idx="368">
                  <c:v>7448014.5468749991</c:v>
                </c:pt>
                <c:pt idx="369">
                  <c:v>6875090.3509615371</c:v>
                </c:pt>
                <c:pt idx="370">
                  <c:v>6384012.46875</c:v>
                </c:pt>
                <c:pt idx="371">
                  <c:v>5958411.6374999993</c:v>
                </c:pt>
                <c:pt idx="372">
                  <c:v>10214419.950000001</c:v>
                </c:pt>
                <c:pt idx="373">
                  <c:v>9285836.3181818184</c:v>
                </c:pt>
                <c:pt idx="374">
                  <c:v>8512016.625</c:v>
                </c:pt>
                <c:pt idx="375">
                  <c:v>7857246.115384615</c:v>
                </c:pt>
                <c:pt idx="376">
                  <c:v>7296014.25</c:v>
                </c:pt>
                <c:pt idx="377">
                  <c:v>6809613.3000000007</c:v>
                </c:pt>
                <c:pt idx="378">
                  <c:v>11491222.44375</c:v>
                </c:pt>
                <c:pt idx="379">
                  <c:v>10446565.857954547</c:v>
                </c:pt>
                <c:pt idx="380">
                  <c:v>9576018.703125</c:v>
                </c:pt>
                <c:pt idx="381">
                  <c:v>8839401.879807692</c:v>
                </c:pt>
                <c:pt idx="382">
                  <c:v>8208016.03125</c:v>
                </c:pt>
                <c:pt idx="383">
                  <c:v>7660814.9625000004</c:v>
                </c:pt>
                <c:pt idx="384">
                  <c:v>8808158.6999999993</c:v>
                </c:pt>
                <c:pt idx="385">
                  <c:v>8007417</c:v>
                </c:pt>
                <c:pt idx="386">
                  <c:v>7340132.25</c:v>
                </c:pt>
                <c:pt idx="387">
                  <c:v>6775506.692307692</c:v>
                </c:pt>
                <c:pt idx="388">
                  <c:v>6291541.9285714282</c:v>
                </c:pt>
                <c:pt idx="389">
                  <c:v>5872105.7999999998</c:v>
                </c:pt>
                <c:pt idx="390">
                  <c:v>10276185.149999999</c:v>
                </c:pt>
                <c:pt idx="391">
                  <c:v>9341986.5</c:v>
                </c:pt>
                <c:pt idx="392">
                  <c:v>8563487.625</c:v>
                </c:pt>
                <c:pt idx="393">
                  <c:v>7904757.807692307</c:v>
                </c:pt>
                <c:pt idx="394">
                  <c:v>7340132.25</c:v>
                </c:pt>
                <c:pt idx="395">
                  <c:v>6850790.0999999996</c:v>
                </c:pt>
                <c:pt idx="396">
                  <c:v>11744211.600000001</c:v>
                </c:pt>
                <c:pt idx="397">
                  <c:v>10676556</c:v>
                </c:pt>
                <c:pt idx="398">
                  <c:v>9786843</c:v>
                </c:pt>
                <c:pt idx="399">
                  <c:v>9034008.9230769239</c:v>
                </c:pt>
                <c:pt idx="400">
                  <c:v>8388722.5714285728</c:v>
                </c:pt>
                <c:pt idx="401">
                  <c:v>7829474.4000000004</c:v>
                </c:pt>
                <c:pt idx="402">
                  <c:v>13212238.050000001</c:v>
                </c:pt>
                <c:pt idx="403">
                  <c:v>12011125.5</c:v>
                </c:pt>
                <c:pt idx="404">
                  <c:v>11010198.375</c:v>
                </c:pt>
                <c:pt idx="405">
                  <c:v>10163260.038461538</c:v>
                </c:pt>
                <c:pt idx="406">
                  <c:v>9437312.8928571437</c:v>
                </c:pt>
                <c:pt idx="407">
                  <c:v>8808158.7000000011</c:v>
                </c:pt>
                <c:pt idx="408">
                  <c:v>10064694.487499999</c:v>
                </c:pt>
                <c:pt idx="409">
                  <c:v>9149722.2613636348</c:v>
                </c:pt>
                <c:pt idx="410">
                  <c:v>8387245.40625</c:v>
                </c:pt>
                <c:pt idx="411">
                  <c:v>7742072.682692308</c:v>
                </c:pt>
                <c:pt idx="412">
                  <c:v>7189067.4910714282</c:v>
                </c:pt>
                <c:pt idx="413">
                  <c:v>6709796.3250000002</c:v>
                </c:pt>
                <c:pt idx="414">
                  <c:v>11742143.56875</c:v>
                </c:pt>
                <c:pt idx="415">
                  <c:v>10674675.971590908</c:v>
                </c:pt>
                <c:pt idx="416">
                  <c:v>9785119.640625</c:v>
                </c:pt>
                <c:pt idx="417">
                  <c:v>9032418.129807692</c:v>
                </c:pt>
                <c:pt idx="418">
                  <c:v>8387245.40625</c:v>
                </c:pt>
                <c:pt idx="419">
                  <c:v>7828095.7124999994</c:v>
                </c:pt>
                <c:pt idx="420">
                  <c:v>13419592.65</c:v>
                </c:pt>
                <c:pt idx="421">
                  <c:v>12199629.681818182</c:v>
                </c:pt>
                <c:pt idx="422">
                  <c:v>11182993.875</c:v>
                </c:pt>
                <c:pt idx="423">
                  <c:v>10322763.57692308</c:v>
                </c:pt>
                <c:pt idx="424">
                  <c:v>9585423.3214285728</c:v>
                </c:pt>
                <c:pt idx="425">
                  <c:v>8946395.0999999996</c:v>
                </c:pt>
                <c:pt idx="426">
                  <c:v>15097041.731250001</c:v>
                </c:pt>
                <c:pt idx="427">
                  <c:v>13724583.392045455</c:v>
                </c:pt>
                <c:pt idx="428">
                  <c:v>12580868.109375</c:v>
                </c:pt>
                <c:pt idx="429">
                  <c:v>11613109.024038464</c:v>
                </c:pt>
                <c:pt idx="430">
                  <c:v>10783601.236607144</c:v>
                </c:pt>
                <c:pt idx="431">
                  <c:v>10064694.487500001</c:v>
                </c:pt>
                <c:pt idx="432">
                  <c:v>11417074.878351934</c:v>
                </c:pt>
                <c:pt idx="433">
                  <c:v>10379158.980319938</c:v>
                </c:pt>
                <c:pt idx="434">
                  <c:v>9514229.0652932767</c:v>
                </c:pt>
                <c:pt idx="435">
                  <c:v>8782365.2910399493</c:v>
                </c:pt>
                <c:pt idx="436">
                  <c:v>8155053.4845370948</c:v>
                </c:pt>
                <c:pt idx="437">
                  <c:v>7611383.2522346219</c:v>
                </c:pt>
                <c:pt idx="438">
                  <c:v>13319920.69141059</c:v>
                </c:pt>
                <c:pt idx="439">
                  <c:v>12109018.810373262</c:v>
                </c:pt>
                <c:pt idx="440">
                  <c:v>11099933.909508822</c:v>
                </c:pt>
                <c:pt idx="441">
                  <c:v>10246092.839546606</c:v>
                </c:pt>
                <c:pt idx="442">
                  <c:v>9514229.0652932767</c:v>
                </c:pt>
                <c:pt idx="443">
                  <c:v>8879947.1276070587</c:v>
                </c:pt>
                <c:pt idx="444">
                  <c:v>15222766.504469246</c:v>
                </c:pt>
                <c:pt idx="445">
                  <c:v>13838878.640426585</c:v>
                </c:pt>
                <c:pt idx="446">
                  <c:v>12685638.75372437</c:v>
                </c:pt>
                <c:pt idx="447">
                  <c:v>11709820.388053266</c:v>
                </c:pt>
                <c:pt idx="448">
                  <c:v>10873404.646049462</c:v>
                </c:pt>
                <c:pt idx="449">
                  <c:v>10148511.002979496</c:v>
                </c:pt>
                <c:pt idx="450">
                  <c:v>17125612.317527901</c:v>
                </c:pt>
                <c:pt idx="451">
                  <c:v>15568738.470479909</c:v>
                </c:pt>
                <c:pt idx="452">
                  <c:v>14271343.597939916</c:v>
                </c:pt>
                <c:pt idx="453">
                  <c:v>13173547.936559923</c:v>
                </c:pt>
                <c:pt idx="454">
                  <c:v>12232580.226805644</c:v>
                </c:pt>
                <c:pt idx="455">
                  <c:v>11417074.878351934</c:v>
                </c:pt>
                <c:pt idx="456">
                  <c:v>12843386.182418766</c:v>
                </c:pt>
                <c:pt idx="457">
                  <c:v>11675805.620380698</c:v>
                </c:pt>
                <c:pt idx="458">
                  <c:v>10702821.818682307</c:v>
                </c:pt>
                <c:pt idx="459">
                  <c:v>9879527.8326298203</c:v>
                </c:pt>
                <c:pt idx="460">
                  <c:v>9173847.2731562611</c:v>
                </c:pt>
                <c:pt idx="461">
                  <c:v>8562257.4549458455</c:v>
                </c:pt>
                <c:pt idx="462">
                  <c:v>14983950.546155227</c:v>
                </c:pt>
                <c:pt idx="463">
                  <c:v>13621773.22377748</c:v>
                </c:pt>
                <c:pt idx="464">
                  <c:v>12486625.455129357</c:v>
                </c:pt>
                <c:pt idx="465">
                  <c:v>11526115.804734791</c:v>
                </c:pt>
                <c:pt idx="466">
                  <c:v>10702821.818682306</c:v>
                </c:pt>
                <c:pt idx="467">
                  <c:v>9989300.3641034849</c:v>
                </c:pt>
                <c:pt idx="468">
                  <c:v>17124514.909891691</c:v>
                </c:pt>
                <c:pt idx="469">
                  <c:v>15567740.827174265</c:v>
                </c:pt>
                <c:pt idx="470">
                  <c:v>14270429.09157641</c:v>
                </c:pt>
                <c:pt idx="471">
                  <c:v>13172703.776839763</c:v>
                </c:pt>
                <c:pt idx="472">
                  <c:v>12231796.36420835</c:v>
                </c:pt>
                <c:pt idx="473">
                  <c:v>11416343.273261128</c:v>
                </c:pt>
                <c:pt idx="474">
                  <c:v>19265079.273628149</c:v>
                </c:pt>
                <c:pt idx="475">
                  <c:v>17513708.430571049</c:v>
                </c:pt>
                <c:pt idx="476">
                  <c:v>16054232.72802346</c:v>
                </c:pt>
                <c:pt idx="477">
                  <c:v>14819291.748944731</c:v>
                </c:pt>
                <c:pt idx="478">
                  <c:v>13760770.909734394</c:v>
                </c:pt>
                <c:pt idx="479">
                  <c:v>12843386.182418767</c:v>
                </c:pt>
                <c:pt idx="480">
                  <c:v>14352843.124718515</c:v>
                </c:pt>
                <c:pt idx="481">
                  <c:v>13048039.204289557</c:v>
                </c:pt>
                <c:pt idx="482">
                  <c:v>11960702.603932096</c:v>
                </c:pt>
                <c:pt idx="483">
                  <c:v>11040648.557475779</c:v>
                </c:pt>
                <c:pt idx="484">
                  <c:v>10252030.803370368</c:v>
                </c:pt>
                <c:pt idx="485">
                  <c:v>9568562.0831456762</c:v>
                </c:pt>
                <c:pt idx="486">
                  <c:v>16744983.645504933</c:v>
                </c:pt>
                <c:pt idx="487">
                  <c:v>15222712.405004485</c:v>
                </c:pt>
                <c:pt idx="488">
                  <c:v>13954153.037920777</c:v>
                </c:pt>
                <c:pt idx="489">
                  <c:v>12880756.650388408</c:v>
                </c:pt>
                <c:pt idx="490">
                  <c:v>11960702.603932096</c:v>
                </c:pt>
                <c:pt idx="491">
                  <c:v>11163322.430336623</c:v>
                </c:pt>
                <c:pt idx="492">
                  <c:v>19137124.166291352</c:v>
                </c:pt>
                <c:pt idx="493">
                  <c:v>17397385.605719414</c:v>
                </c:pt>
                <c:pt idx="494">
                  <c:v>15947603.471909462</c:v>
                </c:pt>
                <c:pt idx="495">
                  <c:v>14720864.743301041</c:v>
                </c:pt>
                <c:pt idx="496">
                  <c:v>13669374.404493824</c:v>
                </c:pt>
                <c:pt idx="497">
                  <c:v>12758082.777527571</c:v>
                </c:pt>
                <c:pt idx="498">
                  <c:v>21529264.687077772</c:v>
                </c:pt>
                <c:pt idx="499">
                  <c:v>19572058.806434337</c:v>
                </c:pt>
                <c:pt idx="500">
                  <c:v>17941053.905898143</c:v>
                </c:pt>
                <c:pt idx="501">
                  <c:v>16560972.836213671</c:v>
                </c:pt>
                <c:pt idx="502">
                  <c:v>15378046.205055552</c:v>
                </c:pt>
                <c:pt idx="503">
                  <c:v>14352843.124718515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CSR_VBM!$M$1</c:f>
              <c:strCache>
                <c:ptCount val="1"/>
                <c:pt idx="0">
                  <c:v>Mv-s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CSR_VBM!$C$2:$C$505</c:f>
              <c:numCache>
                <c:formatCode>General</c:formatCode>
                <c:ptCount val="50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0.7</c:v>
                </c:pt>
                <c:pt idx="31">
                  <c:v>0.7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0.7</c:v>
                </c:pt>
                <c:pt idx="55">
                  <c:v>0.7</c:v>
                </c:pt>
                <c:pt idx="56">
                  <c:v>0.7</c:v>
                </c:pt>
                <c:pt idx="57">
                  <c:v>0.7</c:v>
                </c:pt>
                <c:pt idx="58">
                  <c:v>0.7</c:v>
                </c:pt>
                <c:pt idx="59">
                  <c:v>0.7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0.9</c:v>
                </c:pt>
                <c:pt idx="67">
                  <c:v>0.9</c:v>
                </c:pt>
                <c:pt idx="68">
                  <c:v>0.9</c:v>
                </c:pt>
                <c:pt idx="69">
                  <c:v>0.9</c:v>
                </c:pt>
                <c:pt idx="70">
                  <c:v>0.9</c:v>
                </c:pt>
                <c:pt idx="71">
                  <c:v>0.9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0.7</c:v>
                </c:pt>
                <c:pt idx="79">
                  <c:v>0.7</c:v>
                </c:pt>
                <c:pt idx="80">
                  <c:v>0.7</c:v>
                </c:pt>
                <c:pt idx="81">
                  <c:v>0.7</c:v>
                </c:pt>
                <c:pt idx="82">
                  <c:v>0.7</c:v>
                </c:pt>
                <c:pt idx="83">
                  <c:v>0.7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0.9</c:v>
                </c:pt>
                <c:pt idx="91">
                  <c:v>0.9</c:v>
                </c:pt>
                <c:pt idx="92">
                  <c:v>0.9</c:v>
                </c:pt>
                <c:pt idx="93">
                  <c:v>0.9</c:v>
                </c:pt>
                <c:pt idx="94">
                  <c:v>0.9</c:v>
                </c:pt>
                <c:pt idx="95">
                  <c:v>0.9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0.7</c:v>
                </c:pt>
                <c:pt idx="103">
                  <c:v>0.7</c:v>
                </c:pt>
                <c:pt idx="104">
                  <c:v>0.7</c:v>
                </c:pt>
                <c:pt idx="105">
                  <c:v>0.7</c:v>
                </c:pt>
                <c:pt idx="106">
                  <c:v>0.7</c:v>
                </c:pt>
                <c:pt idx="107">
                  <c:v>0.7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0.9</c:v>
                </c:pt>
                <c:pt idx="115">
                  <c:v>0.9</c:v>
                </c:pt>
                <c:pt idx="116">
                  <c:v>0.9</c:v>
                </c:pt>
                <c:pt idx="117">
                  <c:v>0.9</c:v>
                </c:pt>
                <c:pt idx="118">
                  <c:v>0.9</c:v>
                </c:pt>
                <c:pt idx="119">
                  <c:v>0.9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0.7</c:v>
                </c:pt>
                <c:pt idx="127">
                  <c:v>0.7</c:v>
                </c:pt>
                <c:pt idx="128">
                  <c:v>0.7</c:v>
                </c:pt>
                <c:pt idx="129">
                  <c:v>0.7</c:v>
                </c:pt>
                <c:pt idx="130">
                  <c:v>0.7</c:v>
                </c:pt>
                <c:pt idx="131">
                  <c:v>0.7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0.9</c:v>
                </c:pt>
                <c:pt idx="139">
                  <c:v>0.9</c:v>
                </c:pt>
                <c:pt idx="140">
                  <c:v>0.9</c:v>
                </c:pt>
                <c:pt idx="141">
                  <c:v>0.9</c:v>
                </c:pt>
                <c:pt idx="142">
                  <c:v>0.9</c:v>
                </c:pt>
                <c:pt idx="143">
                  <c:v>0.9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</c:v>
                </c:pt>
                <c:pt idx="150">
                  <c:v>0.7</c:v>
                </c:pt>
                <c:pt idx="151">
                  <c:v>0.7</c:v>
                </c:pt>
                <c:pt idx="152">
                  <c:v>0.7</c:v>
                </c:pt>
                <c:pt idx="153">
                  <c:v>0.7</c:v>
                </c:pt>
                <c:pt idx="154">
                  <c:v>0.7</c:v>
                </c:pt>
                <c:pt idx="155">
                  <c:v>0.7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0.9</c:v>
                </c:pt>
                <c:pt idx="163">
                  <c:v>0.9</c:v>
                </c:pt>
                <c:pt idx="164">
                  <c:v>0.9</c:v>
                </c:pt>
                <c:pt idx="165">
                  <c:v>0.9</c:v>
                </c:pt>
                <c:pt idx="166">
                  <c:v>0.9</c:v>
                </c:pt>
                <c:pt idx="167">
                  <c:v>0.9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0.6</c:v>
                </c:pt>
                <c:pt idx="172">
                  <c:v>0.6</c:v>
                </c:pt>
                <c:pt idx="173">
                  <c:v>0.6</c:v>
                </c:pt>
                <c:pt idx="174">
                  <c:v>0.7</c:v>
                </c:pt>
                <c:pt idx="175">
                  <c:v>0.7</c:v>
                </c:pt>
                <c:pt idx="176">
                  <c:v>0.7</c:v>
                </c:pt>
                <c:pt idx="177">
                  <c:v>0.7</c:v>
                </c:pt>
                <c:pt idx="178">
                  <c:v>0.7</c:v>
                </c:pt>
                <c:pt idx="179">
                  <c:v>0.7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0.9</c:v>
                </c:pt>
                <c:pt idx="187">
                  <c:v>0.9</c:v>
                </c:pt>
                <c:pt idx="188">
                  <c:v>0.9</c:v>
                </c:pt>
                <c:pt idx="189">
                  <c:v>0.9</c:v>
                </c:pt>
                <c:pt idx="190">
                  <c:v>0.9</c:v>
                </c:pt>
                <c:pt idx="191">
                  <c:v>0.9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</c:v>
                </c:pt>
                <c:pt idx="198">
                  <c:v>0.7</c:v>
                </c:pt>
                <c:pt idx="199">
                  <c:v>0.7</c:v>
                </c:pt>
                <c:pt idx="200">
                  <c:v>0.7</c:v>
                </c:pt>
                <c:pt idx="201">
                  <c:v>0.7</c:v>
                </c:pt>
                <c:pt idx="202">
                  <c:v>0.7</c:v>
                </c:pt>
                <c:pt idx="203">
                  <c:v>0.7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0.9</c:v>
                </c:pt>
                <c:pt idx="211">
                  <c:v>0.9</c:v>
                </c:pt>
                <c:pt idx="212">
                  <c:v>0.9</c:v>
                </c:pt>
                <c:pt idx="213">
                  <c:v>0.9</c:v>
                </c:pt>
                <c:pt idx="214">
                  <c:v>0.9</c:v>
                </c:pt>
                <c:pt idx="215">
                  <c:v>0.9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0.6</c:v>
                </c:pt>
                <c:pt idx="220">
                  <c:v>0.6</c:v>
                </c:pt>
                <c:pt idx="221">
                  <c:v>0.6</c:v>
                </c:pt>
                <c:pt idx="222">
                  <c:v>0.7</c:v>
                </c:pt>
                <c:pt idx="223">
                  <c:v>0.7</c:v>
                </c:pt>
                <c:pt idx="224">
                  <c:v>0.7</c:v>
                </c:pt>
                <c:pt idx="225">
                  <c:v>0.7</c:v>
                </c:pt>
                <c:pt idx="226">
                  <c:v>0.7</c:v>
                </c:pt>
                <c:pt idx="227">
                  <c:v>0.7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0.9</c:v>
                </c:pt>
                <c:pt idx="235">
                  <c:v>0.9</c:v>
                </c:pt>
                <c:pt idx="236">
                  <c:v>0.9</c:v>
                </c:pt>
                <c:pt idx="237">
                  <c:v>0.9</c:v>
                </c:pt>
                <c:pt idx="238">
                  <c:v>0.9</c:v>
                </c:pt>
                <c:pt idx="239">
                  <c:v>0.9</c:v>
                </c:pt>
                <c:pt idx="240">
                  <c:v>0.6</c:v>
                </c:pt>
                <c:pt idx="241">
                  <c:v>0.6</c:v>
                </c:pt>
                <c:pt idx="242">
                  <c:v>0.6</c:v>
                </c:pt>
                <c:pt idx="243">
                  <c:v>0.6</c:v>
                </c:pt>
                <c:pt idx="244">
                  <c:v>0.6</c:v>
                </c:pt>
                <c:pt idx="245">
                  <c:v>0.6</c:v>
                </c:pt>
                <c:pt idx="246">
                  <c:v>0.7</c:v>
                </c:pt>
                <c:pt idx="247">
                  <c:v>0.7</c:v>
                </c:pt>
                <c:pt idx="248">
                  <c:v>0.7</c:v>
                </c:pt>
                <c:pt idx="249">
                  <c:v>0.7</c:v>
                </c:pt>
                <c:pt idx="250">
                  <c:v>0.7</c:v>
                </c:pt>
                <c:pt idx="251">
                  <c:v>0.7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0.9</c:v>
                </c:pt>
                <c:pt idx="259">
                  <c:v>0.9</c:v>
                </c:pt>
                <c:pt idx="260">
                  <c:v>0.9</c:v>
                </c:pt>
                <c:pt idx="261">
                  <c:v>0.9</c:v>
                </c:pt>
                <c:pt idx="262">
                  <c:v>0.9</c:v>
                </c:pt>
                <c:pt idx="263">
                  <c:v>0.9</c:v>
                </c:pt>
                <c:pt idx="264">
                  <c:v>0.6</c:v>
                </c:pt>
                <c:pt idx="265">
                  <c:v>0.6</c:v>
                </c:pt>
                <c:pt idx="266">
                  <c:v>0.6</c:v>
                </c:pt>
                <c:pt idx="267">
                  <c:v>0.6</c:v>
                </c:pt>
                <c:pt idx="268">
                  <c:v>0.6</c:v>
                </c:pt>
                <c:pt idx="269">
                  <c:v>0.6</c:v>
                </c:pt>
                <c:pt idx="270">
                  <c:v>0.7</c:v>
                </c:pt>
                <c:pt idx="271">
                  <c:v>0.7</c:v>
                </c:pt>
                <c:pt idx="272">
                  <c:v>0.7</c:v>
                </c:pt>
                <c:pt idx="273">
                  <c:v>0.7</c:v>
                </c:pt>
                <c:pt idx="274">
                  <c:v>0.7</c:v>
                </c:pt>
                <c:pt idx="275">
                  <c:v>0.7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0.9</c:v>
                </c:pt>
                <c:pt idx="283">
                  <c:v>0.9</c:v>
                </c:pt>
                <c:pt idx="284">
                  <c:v>0.9</c:v>
                </c:pt>
                <c:pt idx="285">
                  <c:v>0.9</c:v>
                </c:pt>
                <c:pt idx="286">
                  <c:v>0.9</c:v>
                </c:pt>
                <c:pt idx="287">
                  <c:v>0.9</c:v>
                </c:pt>
                <c:pt idx="288">
                  <c:v>0.6</c:v>
                </c:pt>
                <c:pt idx="289">
                  <c:v>0.6</c:v>
                </c:pt>
                <c:pt idx="290">
                  <c:v>0.6</c:v>
                </c:pt>
                <c:pt idx="291">
                  <c:v>0.6</c:v>
                </c:pt>
                <c:pt idx="292">
                  <c:v>0.6</c:v>
                </c:pt>
                <c:pt idx="293">
                  <c:v>0.6</c:v>
                </c:pt>
                <c:pt idx="294">
                  <c:v>0.7</c:v>
                </c:pt>
                <c:pt idx="295">
                  <c:v>0.7</c:v>
                </c:pt>
                <c:pt idx="296">
                  <c:v>0.7</c:v>
                </c:pt>
                <c:pt idx="297">
                  <c:v>0.7</c:v>
                </c:pt>
                <c:pt idx="298">
                  <c:v>0.7</c:v>
                </c:pt>
                <c:pt idx="299">
                  <c:v>0.7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0.9</c:v>
                </c:pt>
                <c:pt idx="307">
                  <c:v>0.9</c:v>
                </c:pt>
                <c:pt idx="308">
                  <c:v>0.9</c:v>
                </c:pt>
                <c:pt idx="309">
                  <c:v>0.9</c:v>
                </c:pt>
                <c:pt idx="310">
                  <c:v>0.9</c:v>
                </c:pt>
                <c:pt idx="311">
                  <c:v>0.9</c:v>
                </c:pt>
                <c:pt idx="312">
                  <c:v>0.6</c:v>
                </c:pt>
                <c:pt idx="313">
                  <c:v>0.6</c:v>
                </c:pt>
                <c:pt idx="314">
                  <c:v>0.6</c:v>
                </c:pt>
                <c:pt idx="315">
                  <c:v>0.6</c:v>
                </c:pt>
                <c:pt idx="316">
                  <c:v>0.6</c:v>
                </c:pt>
                <c:pt idx="317">
                  <c:v>0.6</c:v>
                </c:pt>
                <c:pt idx="318">
                  <c:v>0.7</c:v>
                </c:pt>
                <c:pt idx="319">
                  <c:v>0.7</c:v>
                </c:pt>
                <c:pt idx="320">
                  <c:v>0.7</c:v>
                </c:pt>
                <c:pt idx="321">
                  <c:v>0.7</c:v>
                </c:pt>
                <c:pt idx="322">
                  <c:v>0.7</c:v>
                </c:pt>
                <c:pt idx="323">
                  <c:v>0.7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0.9</c:v>
                </c:pt>
                <c:pt idx="331">
                  <c:v>0.9</c:v>
                </c:pt>
                <c:pt idx="332">
                  <c:v>0.9</c:v>
                </c:pt>
                <c:pt idx="333">
                  <c:v>0.9</c:v>
                </c:pt>
                <c:pt idx="334">
                  <c:v>0.9</c:v>
                </c:pt>
                <c:pt idx="335">
                  <c:v>0.9</c:v>
                </c:pt>
                <c:pt idx="336">
                  <c:v>0.6</c:v>
                </c:pt>
                <c:pt idx="337">
                  <c:v>0.6</c:v>
                </c:pt>
                <c:pt idx="338">
                  <c:v>0.6</c:v>
                </c:pt>
                <c:pt idx="339">
                  <c:v>0.6</c:v>
                </c:pt>
                <c:pt idx="340">
                  <c:v>0.6</c:v>
                </c:pt>
                <c:pt idx="341">
                  <c:v>0.6</c:v>
                </c:pt>
                <c:pt idx="342">
                  <c:v>0.7</c:v>
                </c:pt>
                <c:pt idx="343">
                  <c:v>0.7</c:v>
                </c:pt>
                <c:pt idx="344">
                  <c:v>0.7</c:v>
                </c:pt>
                <c:pt idx="345">
                  <c:v>0.7</c:v>
                </c:pt>
                <c:pt idx="346">
                  <c:v>0.7</c:v>
                </c:pt>
                <c:pt idx="347">
                  <c:v>0.7</c:v>
                </c:pt>
                <c:pt idx="348">
                  <c:v>0.8</c:v>
                </c:pt>
                <c:pt idx="349">
                  <c:v>0.8</c:v>
                </c:pt>
                <c:pt idx="350">
                  <c:v>0.8</c:v>
                </c:pt>
                <c:pt idx="351">
                  <c:v>0.8</c:v>
                </c:pt>
                <c:pt idx="352">
                  <c:v>0.8</c:v>
                </c:pt>
                <c:pt idx="353">
                  <c:v>0.8</c:v>
                </c:pt>
                <c:pt idx="354">
                  <c:v>0.9</c:v>
                </c:pt>
                <c:pt idx="355">
                  <c:v>0.9</c:v>
                </c:pt>
                <c:pt idx="356">
                  <c:v>0.9</c:v>
                </c:pt>
                <c:pt idx="357">
                  <c:v>0.9</c:v>
                </c:pt>
                <c:pt idx="358">
                  <c:v>0.9</c:v>
                </c:pt>
                <c:pt idx="359">
                  <c:v>0.9</c:v>
                </c:pt>
                <c:pt idx="360">
                  <c:v>0.6</c:v>
                </c:pt>
                <c:pt idx="361">
                  <c:v>0.6</c:v>
                </c:pt>
                <c:pt idx="362">
                  <c:v>0.6</c:v>
                </c:pt>
                <c:pt idx="363">
                  <c:v>0.6</c:v>
                </c:pt>
                <c:pt idx="364">
                  <c:v>0.6</c:v>
                </c:pt>
                <c:pt idx="365">
                  <c:v>0.6</c:v>
                </c:pt>
                <c:pt idx="366">
                  <c:v>0.7</c:v>
                </c:pt>
                <c:pt idx="367">
                  <c:v>0.7</c:v>
                </c:pt>
                <c:pt idx="368">
                  <c:v>0.7</c:v>
                </c:pt>
                <c:pt idx="369">
                  <c:v>0.7</c:v>
                </c:pt>
                <c:pt idx="370">
                  <c:v>0.7</c:v>
                </c:pt>
                <c:pt idx="371">
                  <c:v>0.7</c:v>
                </c:pt>
                <c:pt idx="372">
                  <c:v>0.8</c:v>
                </c:pt>
                <c:pt idx="373">
                  <c:v>0.8</c:v>
                </c:pt>
                <c:pt idx="374">
                  <c:v>0.8</c:v>
                </c:pt>
                <c:pt idx="375">
                  <c:v>0.8</c:v>
                </c:pt>
                <c:pt idx="376">
                  <c:v>0.8</c:v>
                </c:pt>
                <c:pt idx="377">
                  <c:v>0.8</c:v>
                </c:pt>
                <c:pt idx="378">
                  <c:v>0.9</c:v>
                </c:pt>
                <c:pt idx="379">
                  <c:v>0.9</c:v>
                </c:pt>
                <c:pt idx="380">
                  <c:v>0.9</c:v>
                </c:pt>
                <c:pt idx="381">
                  <c:v>0.9</c:v>
                </c:pt>
                <c:pt idx="382">
                  <c:v>0.9</c:v>
                </c:pt>
                <c:pt idx="383">
                  <c:v>0.9</c:v>
                </c:pt>
                <c:pt idx="384">
                  <c:v>0.6</c:v>
                </c:pt>
                <c:pt idx="385">
                  <c:v>0.6</c:v>
                </c:pt>
                <c:pt idx="386">
                  <c:v>0.6</c:v>
                </c:pt>
                <c:pt idx="387">
                  <c:v>0.6</c:v>
                </c:pt>
                <c:pt idx="388">
                  <c:v>0.6</c:v>
                </c:pt>
                <c:pt idx="389">
                  <c:v>0.6</c:v>
                </c:pt>
                <c:pt idx="390">
                  <c:v>0.7</c:v>
                </c:pt>
                <c:pt idx="391">
                  <c:v>0.7</c:v>
                </c:pt>
                <c:pt idx="392">
                  <c:v>0.7</c:v>
                </c:pt>
                <c:pt idx="393">
                  <c:v>0.7</c:v>
                </c:pt>
                <c:pt idx="394">
                  <c:v>0.7</c:v>
                </c:pt>
                <c:pt idx="395">
                  <c:v>0.7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0.9</c:v>
                </c:pt>
                <c:pt idx="403">
                  <c:v>0.9</c:v>
                </c:pt>
                <c:pt idx="404">
                  <c:v>0.9</c:v>
                </c:pt>
                <c:pt idx="405">
                  <c:v>0.9</c:v>
                </c:pt>
                <c:pt idx="406">
                  <c:v>0.9</c:v>
                </c:pt>
                <c:pt idx="407">
                  <c:v>0.9</c:v>
                </c:pt>
                <c:pt idx="408">
                  <c:v>0.6</c:v>
                </c:pt>
                <c:pt idx="409">
                  <c:v>0.6</c:v>
                </c:pt>
                <c:pt idx="410">
                  <c:v>0.6</c:v>
                </c:pt>
                <c:pt idx="411">
                  <c:v>0.6</c:v>
                </c:pt>
                <c:pt idx="412">
                  <c:v>0.6</c:v>
                </c:pt>
                <c:pt idx="413">
                  <c:v>0.6</c:v>
                </c:pt>
                <c:pt idx="414">
                  <c:v>0.7</c:v>
                </c:pt>
                <c:pt idx="415">
                  <c:v>0.7</c:v>
                </c:pt>
                <c:pt idx="416">
                  <c:v>0.7</c:v>
                </c:pt>
                <c:pt idx="417">
                  <c:v>0.7</c:v>
                </c:pt>
                <c:pt idx="418">
                  <c:v>0.7</c:v>
                </c:pt>
                <c:pt idx="419">
                  <c:v>0.7</c:v>
                </c:pt>
                <c:pt idx="420">
                  <c:v>0.8</c:v>
                </c:pt>
                <c:pt idx="421">
                  <c:v>0.8</c:v>
                </c:pt>
                <c:pt idx="422">
                  <c:v>0.8</c:v>
                </c:pt>
                <c:pt idx="423">
                  <c:v>0.8</c:v>
                </c:pt>
                <c:pt idx="424">
                  <c:v>0.8</c:v>
                </c:pt>
                <c:pt idx="425">
                  <c:v>0.8</c:v>
                </c:pt>
                <c:pt idx="426">
                  <c:v>0.9</c:v>
                </c:pt>
                <c:pt idx="427">
                  <c:v>0.9</c:v>
                </c:pt>
                <c:pt idx="428">
                  <c:v>0.9</c:v>
                </c:pt>
                <c:pt idx="429">
                  <c:v>0.9</c:v>
                </c:pt>
                <c:pt idx="430">
                  <c:v>0.9</c:v>
                </c:pt>
                <c:pt idx="431">
                  <c:v>0.9</c:v>
                </c:pt>
                <c:pt idx="432">
                  <c:v>0.6</c:v>
                </c:pt>
                <c:pt idx="433">
                  <c:v>0.6</c:v>
                </c:pt>
                <c:pt idx="434">
                  <c:v>0.6</c:v>
                </c:pt>
                <c:pt idx="435">
                  <c:v>0.6</c:v>
                </c:pt>
                <c:pt idx="436">
                  <c:v>0.6</c:v>
                </c:pt>
                <c:pt idx="437">
                  <c:v>0.6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0.8</c:v>
                </c:pt>
                <c:pt idx="445">
                  <c:v>0.8</c:v>
                </c:pt>
                <c:pt idx="446">
                  <c:v>0.8</c:v>
                </c:pt>
                <c:pt idx="447">
                  <c:v>0.8</c:v>
                </c:pt>
                <c:pt idx="448">
                  <c:v>0.8</c:v>
                </c:pt>
                <c:pt idx="449">
                  <c:v>0.8</c:v>
                </c:pt>
                <c:pt idx="450">
                  <c:v>0.9</c:v>
                </c:pt>
                <c:pt idx="451">
                  <c:v>0.9</c:v>
                </c:pt>
                <c:pt idx="452">
                  <c:v>0.9</c:v>
                </c:pt>
                <c:pt idx="453">
                  <c:v>0.9</c:v>
                </c:pt>
                <c:pt idx="454">
                  <c:v>0.9</c:v>
                </c:pt>
                <c:pt idx="455">
                  <c:v>0.9</c:v>
                </c:pt>
                <c:pt idx="456">
                  <c:v>0.6</c:v>
                </c:pt>
                <c:pt idx="457">
                  <c:v>0.6</c:v>
                </c:pt>
                <c:pt idx="458">
                  <c:v>0.6</c:v>
                </c:pt>
                <c:pt idx="459">
                  <c:v>0.6</c:v>
                </c:pt>
                <c:pt idx="460">
                  <c:v>0.6</c:v>
                </c:pt>
                <c:pt idx="461">
                  <c:v>0.6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0.8</c:v>
                </c:pt>
                <c:pt idx="469">
                  <c:v>0.8</c:v>
                </c:pt>
                <c:pt idx="470">
                  <c:v>0.8</c:v>
                </c:pt>
                <c:pt idx="471">
                  <c:v>0.8</c:v>
                </c:pt>
                <c:pt idx="472">
                  <c:v>0.8</c:v>
                </c:pt>
                <c:pt idx="473">
                  <c:v>0.8</c:v>
                </c:pt>
                <c:pt idx="474">
                  <c:v>0.9</c:v>
                </c:pt>
                <c:pt idx="475">
                  <c:v>0.9</c:v>
                </c:pt>
                <c:pt idx="476">
                  <c:v>0.9</c:v>
                </c:pt>
                <c:pt idx="477">
                  <c:v>0.9</c:v>
                </c:pt>
                <c:pt idx="478">
                  <c:v>0.9</c:v>
                </c:pt>
                <c:pt idx="479">
                  <c:v>0.9</c:v>
                </c:pt>
                <c:pt idx="480">
                  <c:v>0.6</c:v>
                </c:pt>
                <c:pt idx="481">
                  <c:v>0.6</c:v>
                </c:pt>
                <c:pt idx="482">
                  <c:v>0.6</c:v>
                </c:pt>
                <c:pt idx="483">
                  <c:v>0.6</c:v>
                </c:pt>
                <c:pt idx="484">
                  <c:v>0.6</c:v>
                </c:pt>
                <c:pt idx="485">
                  <c:v>0.6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0.8</c:v>
                </c:pt>
                <c:pt idx="493">
                  <c:v>0.8</c:v>
                </c:pt>
                <c:pt idx="494">
                  <c:v>0.8</c:v>
                </c:pt>
                <c:pt idx="495">
                  <c:v>0.8</c:v>
                </c:pt>
                <c:pt idx="496">
                  <c:v>0.8</c:v>
                </c:pt>
                <c:pt idx="497">
                  <c:v>0.8</c:v>
                </c:pt>
                <c:pt idx="498">
                  <c:v>0.9</c:v>
                </c:pt>
                <c:pt idx="499">
                  <c:v>0.9</c:v>
                </c:pt>
                <c:pt idx="500">
                  <c:v>0.9</c:v>
                </c:pt>
                <c:pt idx="501">
                  <c:v>0.9</c:v>
                </c:pt>
                <c:pt idx="502">
                  <c:v>0.9</c:v>
                </c:pt>
                <c:pt idx="503">
                  <c:v>0.9</c:v>
                </c:pt>
              </c:numCache>
            </c:numRef>
          </c:xVal>
          <c:yVal>
            <c:numRef>
              <c:f>CSR_VBM!$M$2:$M$505</c:f>
              <c:numCache>
                <c:formatCode>0.00</c:formatCode>
                <c:ptCount val="504"/>
                <c:pt idx="0">
                  <c:v>-160974.53261724368</c:v>
                </c:pt>
                <c:pt idx="1">
                  <c:v>-146340.48419749425</c:v>
                </c:pt>
                <c:pt idx="2">
                  <c:v>-134145.44384770305</c:v>
                </c:pt>
                <c:pt idx="3">
                  <c:v>-123826.56355172591</c:v>
                </c:pt>
                <c:pt idx="4">
                  <c:v>-114981.80901231692</c:v>
                </c:pt>
                <c:pt idx="5">
                  <c:v>-107316.35507816245</c:v>
                </c:pt>
                <c:pt idx="6">
                  <c:v>-173357.18897241625</c:v>
                </c:pt>
                <c:pt idx="7">
                  <c:v>-157597.44452037843</c:v>
                </c:pt>
                <c:pt idx="8">
                  <c:v>-144464.32414368022</c:v>
                </c:pt>
                <c:pt idx="9">
                  <c:v>-133351.68382493558</c:v>
                </c:pt>
                <c:pt idx="10">
                  <c:v>-123826.56355172589</c:v>
                </c:pt>
                <c:pt idx="11">
                  <c:v>-115571.45931494416</c:v>
                </c:pt>
                <c:pt idx="12">
                  <c:v>-185739.84532758885</c:v>
                </c:pt>
                <c:pt idx="13">
                  <c:v>-168854.4048432626</c:v>
                </c:pt>
                <c:pt idx="14">
                  <c:v>-154783.20443965736</c:v>
                </c:pt>
                <c:pt idx="15">
                  <c:v>-142876.80409814528</c:v>
                </c:pt>
                <c:pt idx="16">
                  <c:v>-132671.31809113489</c:v>
                </c:pt>
                <c:pt idx="17">
                  <c:v>-123826.56355172589</c:v>
                </c:pt>
                <c:pt idx="18">
                  <c:v>-198122.50168276147</c:v>
                </c:pt>
                <c:pt idx="19">
                  <c:v>-180111.3651661468</c:v>
                </c:pt>
                <c:pt idx="20">
                  <c:v>-165102.08473563456</c:v>
                </c:pt>
                <c:pt idx="21">
                  <c:v>-152401.92437135498</c:v>
                </c:pt>
                <c:pt idx="22">
                  <c:v>-141516.07263054393</c:v>
                </c:pt>
                <c:pt idx="23">
                  <c:v>-132081.66778850765</c:v>
                </c:pt>
                <c:pt idx="24">
                  <c:v>-266240.82613773446</c:v>
                </c:pt>
                <c:pt idx="25">
                  <c:v>-242037.11467066768</c:v>
                </c:pt>
                <c:pt idx="26">
                  <c:v>-221867.35511477874</c:v>
                </c:pt>
                <c:pt idx="27">
                  <c:v>-204800.63549056495</c:v>
                </c:pt>
                <c:pt idx="28">
                  <c:v>-190172.01866981032</c:v>
                </c:pt>
                <c:pt idx="29">
                  <c:v>-177493.88409182298</c:v>
                </c:pt>
                <c:pt idx="30">
                  <c:v>-286720.88968679094</c:v>
                </c:pt>
                <c:pt idx="31">
                  <c:v>-260655.35426071903</c:v>
                </c:pt>
                <c:pt idx="32">
                  <c:v>-238934.07473899244</c:v>
                </c:pt>
                <c:pt idx="33">
                  <c:v>-220554.5305283007</c:v>
                </c:pt>
                <c:pt idx="34">
                  <c:v>-204800.63549056495</c:v>
                </c:pt>
                <c:pt idx="35">
                  <c:v>-191147.25979119397</c:v>
                </c:pt>
                <c:pt idx="36">
                  <c:v>-307200.95323584741</c:v>
                </c:pt>
                <c:pt idx="37">
                  <c:v>-279273.59385077038</c:v>
                </c:pt>
                <c:pt idx="38">
                  <c:v>-256000.79436320617</c:v>
                </c:pt>
                <c:pt idx="39">
                  <c:v>-236308.42556603646</c:v>
                </c:pt>
                <c:pt idx="40">
                  <c:v>-219429.25231131958</c:v>
                </c:pt>
                <c:pt idx="41">
                  <c:v>-204800.63549056495</c:v>
                </c:pt>
                <c:pt idx="42">
                  <c:v>-327681.016784904</c:v>
                </c:pt>
                <c:pt idx="43">
                  <c:v>-297891.83344082185</c:v>
                </c:pt>
                <c:pt idx="44">
                  <c:v>-273067.51398742001</c:v>
                </c:pt>
                <c:pt idx="45">
                  <c:v>-252062.3206037723</c:v>
                </c:pt>
                <c:pt idx="46">
                  <c:v>-234057.86913207432</c:v>
                </c:pt>
                <c:pt idx="47">
                  <c:v>-218454.01118993602</c:v>
                </c:pt>
                <c:pt idx="48">
                  <c:v>-412673.62417926342</c:v>
                </c:pt>
                <c:pt idx="49">
                  <c:v>-375157.84016296675</c:v>
                </c:pt>
                <c:pt idx="50">
                  <c:v>-343894.68681605288</c:v>
                </c:pt>
                <c:pt idx="51">
                  <c:v>-317441.24936866417</c:v>
                </c:pt>
                <c:pt idx="52">
                  <c:v>-294766.87441375962</c:v>
                </c:pt>
                <c:pt idx="53">
                  <c:v>-275115.74945284228</c:v>
                </c:pt>
                <c:pt idx="54">
                  <c:v>-444417.74911612988</c:v>
                </c:pt>
                <c:pt idx="55">
                  <c:v>-404016.13556011807</c:v>
                </c:pt>
                <c:pt idx="56">
                  <c:v>-370348.1242634416</c:v>
                </c:pt>
                <c:pt idx="57">
                  <c:v>-341859.80701240757</c:v>
                </c:pt>
                <c:pt idx="58">
                  <c:v>-317441.24936866417</c:v>
                </c:pt>
                <c:pt idx="59">
                  <c:v>-296278.49941075325</c:v>
                </c:pt>
                <c:pt idx="60">
                  <c:v>-476161.87405299628</c:v>
                </c:pt>
                <c:pt idx="61">
                  <c:v>-432874.43095726933</c:v>
                </c:pt>
                <c:pt idx="62">
                  <c:v>-396801.56171083031</c:v>
                </c:pt>
                <c:pt idx="63">
                  <c:v>-366278.36465615104</c:v>
                </c:pt>
                <c:pt idx="64">
                  <c:v>-340115.62432356877</c:v>
                </c:pt>
                <c:pt idx="65">
                  <c:v>-317441.24936866423</c:v>
                </c:pt>
                <c:pt idx="66">
                  <c:v>-507905.9989898628</c:v>
                </c:pt>
                <c:pt idx="67">
                  <c:v>-461732.72635442071</c:v>
                </c:pt>
                <c:pt idx="68">
                  <c:v>-423254.99915821897</c:v>
                </c:pt>
                <c:pt idx="69">
                  <c:v>-390696.92229989445</c:v>
                </c:pt>
                <c:pt idx="70">
                  <c:v>-362789.99927847343</c:v>
                </c:pt>
                <c:pt idx="71">
                  <c:v>-338603.9993265752</c:v>
                </c:pt>
                <c:pt idx="72">
                  <c:v>-608406.78380051767</c:v>
                </c:pt>
                <c:pt idx="73">
                  <c:v>-553097.07618228882</c:v>
                </c:pt>
                <c:pt idx="74">
                  <c:v>-507005.65316709806</c:v>
                </c:pt>
                <c:pt idx="75">
                  <c:v>-468005.21830809052</c:v>
                </c:pt>
                <c:pt idx="76">
                  <c:v>-434576.27414322691</c:v>
                </c:pt>
                <c:pt idx="77">
                  <c:v>-405604.52253367845</c:v>
                </c:pt>
                <c:pt idx="78">
                  <c:v>-655207.30563132674</c:v>
                </c:pt>
                <c:pt idx="79">
                  <c:v>-595643.00511938788</c:v>
                </c:pt>
                <c:pt idx="80">
                  <c:v>-546006.08802610554</c:v>
                </c:pt>
                <c:pt idx="81">
                  <c:v>-504005.61971640517</c:v>
                </c:pt>
                <c:pt idx="82">
                  <c:v>-468005.21830809047</c:v>
                </c:pt>
                <c:pt idx="83">
                  <c:v>-436804.87042088452</c:v>
                </c:pt>
                <c:pt idx="84">
                  <c:v>-702007.8274621357</c:v>
                </c:pt>
                <c:pt idx="85">
                  <c:v>-638188.93405648693</c:v>
                </c:pt>
                <c:pt idx="86">
                  <c:v>-585006.52288511302</c:v>
                </c:pt>
                <c:pt idx="87">
                  <c:v>-540006.02112471976</c:v>
                </c:pt>
                <c:pt idx="88">
                  <c:v>-501434.16247295402</c:v>
                </c:pt>
                <c:pt idx="89">
                  <c:v>-468005.21830809047</c:v>
                </c:pt>
                <c:pt idx="90">
                  <c:v>-748808.34929294488</c:v>
                </c:pt>
                <c:pt idx="91">
                  <c:v>-680734.86299358634</c:v>
                </c:pt>
                <c:pt idx="92">
                  <c:v>-624006.95774412074</c:v>
                </c:pt>
                <c:pt idx="93">
                  <c:v>-576006.42253303458</c:v>
                </c:pt>
                <c:pt idx="94">
                  <c:v>-534863.10663781781</c:v>
                </c:pt>
                <c:pt idx="95">
                  <c:v>-499205.56619529659</c:v>
                </c:pt>
                <c:pt idx="96">
                  <c:v>-861880.21284599626</c:v>
                </c:pt>
                <c:pt idx="97">
                  <c:v>-783527.46622363303</c:v>
                </c:pt>
                <c:pt idx="98">
                  <c:v>-718233.51070499688</c:v>
                </c:pt>
                <c:pt idx="99">
                  <c:v>-662984.77911230491</c:v>
                </c:pt>
                <c:pt idx="100">
                  <c:v>-615628.72346142586</c:v>
                </c:pt>
                <c:pt idx="101">
                  <c:v>-574586.8085639975</c:v>
                </c:pt>
                <c:pt idx="102">
                  <c:v>-928178.69075722701</c:v>
                </c:pt>
                <c:pt idx="103">
                  <c:v>-843798.80977929733</c:v>
                </c:pt>
                <c:pt idx="104">
                  <c:v>-773482.2422976892</c:v>
                </c:pt>
                <c:pt idx="105">
                  <c:v>-713983.60827478999</c:v>
                </c:pt>
                <c:pt idx="106">
                  <c:v>-662984.77911230491</c:v>
                </c:pt>
                <c:pt idx="107">
                  <c:v>-618785.79383815126</c:v>
                </c:pt>
                <c:pt idx="108">
                  <c:v>-994477.16866845696</c:v>
                </c:pt>
                <c:pt idx="109">
                  <c:v>-904070.15333496092</c:v>
                </c:pt>
                <c:pt idx="110">
                  <c:v>-828730.97389038093</c:v>
                </c:pt>
                <c:pt idx="111">
                  <c:v>-764982.43743727461</c:v>
                </c:pt>
                <c:pt idx="112">
                  <c:v>-710340.83476318361</c:v>
                </c:pt>
                <c:pt idx="113">
                  <c:v>-662984.77911230468</c:v>
                </c:pt>
                <c:pt idx="114">
                  <c:v>-1060775.6465796882</c:v>
                </c:pt>
                <c:pt idx="115">
                  <c:v>-964341.49689062545</c:v>
                </c:pt>
                <c:pt idx="116">
                  <c:v>-883979.70548307325</c:v>
                </c:pt>
                <c:pt idx="117">
                  <c:v>-815981.26659975993</c:v>
                </c:pt>
                <c:pt idx="118">
                  <c:v>-757696.89041406277</c:v>
                </c:pt>
                <c:pt idx="119">
                  <c:v>-707183.76438645867</c:v>
                </c:pt>
                <c:pt idx="120">
                  <c:v>-1181728.3599048734</c:v>
                </c:pt>
                <c:pt idx="121">
                  <c:v>-1074298.5090044304</c:v>
                </c:pt>
                <c:pt idx="122">
                  <c:v>-984773.6332540611</c:v>
                </c:pt>
                <c:pt idx="123">
                  <c:v>-909021.81531144108</c:v>
                </c:pt>
                <c:pt idx="124">
                  <c:v>-844091.68564633827</c:v>
                </c:pt>
                <c:pt idx="125">
                  <c:v>-787818.90660324891</c:v>
                </c:pt>
                <c:pt idx="126">
                  <c:v>-1272630.5414360177</c:v>
                </c:pt>
                <c:pt idx="127">
                  <c:v>-1156936.8558509252</c:v>
                </c:pt>
                <c:pt idx="128">
                  <c:v>-1060525.4511966815</c:v>
                </c:pt>
                <c:pt idx="129">
                  <c:v>-978946.5703353982</c:v>
                </c:pt>
                <c:pt idx="130">
                  <c:v>-909021.8153114412</c:v>
                </c:pt>
                <c:pt idx="131">
                  <c:v>-848420.36095734523</c:v>
                </c:pt>
                <c:pt idx="132">
                  <c:v>-1363532.7229671618</c:v>
                </c:pt>
                <c:pt idx="133">
                  <c:v>-1239575.2026974198</c:v>
                </c:pt>
                <c:pt idx="134">
                  <c:v>-1136277.2691393015</c:v>
                </c:pt>
                <c:pt idx="135">
                  <c:v>-1048871.3253593552</c:v>
                </c:pt>
                <c:pt idx="136">
                  <c:v>-973951.94497654424</c:v>
                </c:pt>
                <c:pt idx="137">
                  <c:v>-909021.8153114412</c:v>
                </c:pt>
                <c:pt idx="138">
                  <c:v>-1454434.9044983061</c:v>
                </c:pt>
                <c:pt idx="139">
                  <c:v>-1322213.5495439149</c:v>
                </c:pt>
                <c:pt idx="140">
                  <c:v>-1212029.087081922</c:v>
                </c:pt>
                <c:pt idx="141">
                  <c:v>-1118796.0803833124</c:v>
                </c:pt>
                <c:pt idx="142">
                  <c:v>-1038882.0746416473</c:v>
                </c:pt>
                <c:pt idx="143">
                  <c:v>-969623.26966553752</c:v>
                </c:pt>
                <c:pt idx="144">
                  <c:v>-1576651.852662564</c:v>
                </c:pt>
                <c:pt idx="145">
                  <c:v>-1433319.8660568765</c:v>
                </c:pt>
                <c:pt idx="146">
                  <c:v>-1313876.5438854701</c:v>
                </c:pt>
                <c:pt idx="147">
                  <c:v>-1212809.1174327417</c:v>
                </c:pt>
                <c:pt idx="148">
                  <c:v>-1126179.8947589744</c:v>
                </c:pt>
                <c:pt idx="149">
                  <c:v>-1051101.235108376</c:v>
                </c:pt>
                <c:pt idx="150">
                  <c:v>-1697932.7644058387</c:v>
                </c:pt>
                <c:pt idx="151">
                  <c:v>-1543575.2403689439</c:v>
                </c:pt>
                <c:pt idx="152">
                  <c:v>-1414943.9703381986</c:v>
                </c:pt>
                <c:pt idx="153">
                  <c:v>-1306102.1264660296</c:v>
                </c:pt>
                <c:pt idx="154">
                  <c:v>-1212809.1174327417</c:v>
                </c:pt>
                <c:pt idx="155">
                  <c:v>-1131955.176270559</c:v>
                </c:pt>
                <c:pt idx="156">
                  <c:v>-1819213.6761491124</c:v>
                </c:pt>
                <c:pt idx="157">
                  <c:v>-1653830.6146810113</c:v>
                </c:pt>
                <c:pt idx="158">
                  <c:v>-1516011.396790927</c:v>
                </c:pt>
                <c:pt idx="159">
                  <c:v>-1399395.1354993172</c:v>
                </c:pt>
                <c:pt idx="160">
                  <c:v>-1299438.3401065089</c:v>
                </c:pt>
                <c:pt idx="161">
                  <c:v>-1212809.1174327417</c:v>
                </c:pt>
                <c:pt idx="162">
                  <c:v>-1940494.5878923868</c:v>
                </c:pt>
                <c:pt idx="163">
                  <c:v>-1764085.9889930789</c:v>
                </c:pt>
                <c:pt idx="164">
                  <c:v>-1617078.8232436557</c:v>
                </c:pt>
                <c:pt idx="165">
                  <c:v>-1492688.1445326053</c:v>
                </c:pt>
                <c:pt idx="166">
                  <c:v>-1386067.5627802764</c:v>
                </c:pt>
                <c:pt idx="167">
                  <c:v>-1293663.0585949246</c:v>
                </c:pt>
                <c:pt idx="168">
                  <c:v>-2055265.867085112</c:v>
                </c:pt>
                <c:pt idx="169">
                  <c:v>-1868423.5155319199</c:v>
                </c:pt>
                <c:pt idx="170">
                  <c:v>-1712721.5559042599</c:v>
                </c:pt>
                <c:pt idx="171">
                  <c:v>-1580973.7439116247</c:v>
                </c:pt>
                <c:pt idx="172">
                  <c:v>-1468047.0479179372</c:v>
                </c:pt>
                <c:pt idx="173">
                  <c:v>-1370177.244723408</c:v>
                </c:pt>
                <c:pt idx="174">
                  <c:v>-2213363.2414762746</c:v>
                </c:pt>
                <c:pt idx="175">
                  <c:v>-2012148.4013420679</c:v>
                </c:pt>
                <c:pt idx="176">
                  <c:v>-1844469.3678968956</c:v>
                </c:pt>
                <c:pt idx="177">
                  <c:v>-1702587.1088279036</c:v>
                </c:pt>
                <c:pt idx="178">
                  <c:v>-1580973.7439116249</c:v>
                </c:pt>
                <c:pt idx="179">
                  <c:v>-1475575.4943175165</c:v>
                </c:pt>
                <c:pt idx="180">
                  <c:v>-2371460.6158674369</c:v>
                </c:pt>
                <c:pt idx="181">
                  <c:v>-2155873.2871522154</c:v>
                </c:pt>
                <c:pt idx="182">
                  <c:v>-1976217.1798895304</c:v>
                </c:pt>
                <c:pt idx="183">
                  <c:v>-1824200.4737441819</c:v>
                </c:pt>
                <c:pt idx="184">
                  <c:v>-1693900.4399053119</c:v>
                </c:pt>
                <c:pt idx="185">
                  <c:v>-1580973.7439116244</c:v>
                </c:pt>
                <c:pt idx="186">
                  <c:v>-2529557.9902586001</c:v>
                </c:pt>
                <c:pt idx="187">
                  <c:v>-2299598.1729623638</c:v>
                </c:pt>
                <c:pt idx="188">
                  <c:v>-2107964.9918821668</c:v>
                </c:pt>
                <c:pt idx="189">
                  <c:v>-1945813.8386604616</c:v>
                </c:pt>
                <c:pt idx="190">
                  <c:v>-1806827.1358990001</c:v>
                </c:pt>
                <c:pt idx="191">
                  <c:v>-1686371.9935057333</c:v>
                </c:pt>
                <c:pt idx="192">
                  <c:v>-2625914.8155797655</c:v>
                </c:pt>
                <c:pt idx="193">
                  <c:v>-2387195.2868906953</c:v>
                </c:pt>
                <c:pt idx="194">
                  <c:v>-2188262.3463164712</c:v>
                </c:pt>
                <c:pt idx="195">
                  <c:v>-2019934.4735228964</c:v>
                </c:pt>
                <c:pt idx="196">
                  <c:v>-1875653.4396998324</c:v>
                </c:pt>
                <c:pt idx="197">
                  <c:v>-1750609.8770531768</c:v>
                </c:pt>
                <c:pt idx="198">
                  <c:v>-2827908.2629320538</c:v>
                </c:pt>
                <c:pt idx="199">
                  <c:v>-2570825.6935745943</c:v>
                </c:pt>
                <c:pt idx="200">
                  <c:v>-2356590.2191100451</c:v>
                </c:pt>
                <c:pt idx="201">
                  <c:v>-2175314.0484092725</c:v>
                </c:pt>
                <c:pt idx="202">
                  <c:v>-2019934.4735228957</c:v>
                </c:pt>
                <c:pt idx="203">
                  <c:v>-1885272.1752880358</c:v>
                </c:pt>
                <c:pt idx="204">
                  <c:v>-3029901.7102843435</c:v>
                </c:pt>
                <c:pt idx="205">
                  <c:v>-2754456.1002584938</c:v>
                </c:pt>
                <c:pt idx="206">
                  <c:v>-2524918.0919036195</c:v>
                </c:pt>
                <c:pt idx="207">
                  <c:v>-2330693.623295649</c:v>
                </c:pt>
                <c:pt idx="208">
                  <c:v>-2164215.5073459595</c:v>
                </c:pt>
                <c:pt idx="209">
                  <c:v>-2019934.4735228957</c:v>
                </c:pt>
                <c:pt idx="210">
                  <c:v>-3231895.1576366336</c:v>
                </c:pt>
                <c:pt idx="211">
                  <c:v>-2938086.5069423942</c:v>
                </c:pt>
                <c:pt idx="212">
                  <c:v>-2693245.9646971948</c:v>
                </c:pt>
                <c:pt idx="213">
                  <c:v>-2486073.1981820259</c:v>
                </c:pt>
                <c:pt idx="214">
                  <c:v>-2308496.5411690241</c:v>
                </c:pt>
                <c:pt idx="215">
                  <c:v>-2154596.7717577564</c:v>
                </c:pt>
                <c:pt idx="216">
                  <c:v>-3296435.2576796487</c:v>
                </c:pt>
                <c:pt idx="217">
                  <c:v>-2996759.3251633169</c:v>
                </c:pt>
                <c:pt idx="218">
                  <c:v>-2747029.3813997074</c:v>
                </c:pt>
                <c:pt idx="219">
                  <c:v>-2535719.4289843449</c:v>
                </c:pt>
                <c:pt idx="220">
                  <c:v>-2354596.6126283207</c:v>
                </c:pt>
                <c:pt idx="221">
                  <c:v>-2197623.5051197656</c:v>
                </c:pt>
                <c:pt idx="222">
                  <c:v>-3550007.2005780828</c:v>
                </c:pt>
                <c:pt idx="223">
                  <c:v>-3227279.2732528024</c:v>
                </c:pt>
                <c:pt idx="224">
                  <c:v>-2958339.3338150689</c:v>
                </c:pt>
                <c:pt idx="225">
                  <c:v>-2730774.7696754481</c:v>
                </c:pt>
                <c:pt idx="226">
                  <c:v>-2535719.4289843454</c:v>
                </c:pt>
                <c:pt idx="227">
                  <c:v>-2366671.4670520551</c:v>
                </c:pt>
                <c:pt idx="228">
                  <c:v>-3803579.1434765169</c:v>
                </c:pt>
                <c:pt idx="229">
                  <c:v>-3457799.221342288</c:v>
                </c:pt>
                <c:pt idx="230">
                  <c:v>-3169649.2862304309</c:v>
                </c:pt>
                <c:pt idx="231">
                  <c:v>-2925830.1103665517</c:v>
                </c:pt>
                <c:pt idx="232">
                  <c:v>-2716842.2453403696</c:v>
                </c:pt>
                <c:pt idx="233">
                  <c:v>-2535719.4289843449</c:v>
                </c:pt>
                <c:pt idx="234">
                  <c:v>-4057151.0863749529</c:v>
                </c:pt>
                <c:pt idx="235">
                  <c:v>-3688319.1694317749</c:v>
                </c:pt>
                <c:pt idx="236">
                  <c:v>-3380959.2386457939</c:v>
                </c:pt>
                <c:pt idx="237">
                  <c:v>-3120885.4510576557</c:v>
                </c:pt>
                <c:pt idx="238">
                  <c:v>-2897965.0616963953</c:v>
                </c:pt>
                <c:pt idx="239">
                  <c:v>-2704767.3909166353</c:v>
                </c:pt>
                <c:pt idx="240">
                  <c:v>-4073832.6276981072</c:v>
                </c:pt>
                <c:pt idx="241">
                  <c:v>-3703484.2069982789</c:v>
                </c:pt>
                <c:pt idx="242">
                  <c:v>-3394860.5230817562</c:v>
                </c:pt>
                <c:pt idx="243">
                  <c:v>-3133717.4059216208</c:v>
                </c:pt>
                <c:pt idx="244">
                  <c:v>-2909880.4483557907</c:v>
                </c:pt>
                <c:pt idx="245">
                  <c:v>-2715888.4184654048</c:v>
                </c:pt>
                <c:pt idx="246">
                  <c:v>-4387204.3682902697</c:v>
                </c:pt>
                <c:pt idx="247">
                  <c:v>-3988367.6075366084</c:v>
                </c:pt>
                <c:pt idx="248">
                  <c:v>-3656003.6402418911</c:v>
                </c:pt>
                <c:pt idx="249">
                  <c:v>-3374772.5909925145</c:v>
                </c:pt>
                <c:pt idx="250">
                  <c:v>-3133717.4059216212</c:v>
                </c:pt>
                <c:pt idx="251">
                  <c:v>-2924802.912193513</c:v>
                </c:pt>
                <c:pt idx="252">
                  <c:v>-4700576.1088824309</c:v>
                </c:pt>
                <c:pt idx="253">
                  <c:v>-4273251.0080749374</c:v>
                </c:pt>
                <c:pt idx="254">
                  <c:v>-3917146.7574020261</c:v>
                </c:pt>
                <c:pt idx="255">
                  <c:v>-3615827.7760634082</c:v>
                </c:pt>
                <c:pt idx="256">
                  <c:v>-3357554.3634874509</c:v>
                </c:pt>
                <c:pt idx="257">
                  <c:v>-3133717.4059216208</c:v>
                </c:pt>
                <c:pt idx="258">
                  <c:v>-5013947.8494745949</c:v>
                </c:pt>
                <c:pt idx="259">
                  <c:v>-4558134.4086132683</c:v>
                </c:pt>
                <c:pt idx="260">
                  <c:v>-4178289.8745621624</c:v>
                </c:pt>
                <c:pt idx="261">
                  <c:v>-3856882.9611343034</c:v>
                </c:pt>
                <c:pt idx="262">
                  <c:v>-3581391.3210532819</c:v>
                </c:pt>
                <c:pt idx="263">
                  <c:v>-3342631.89964973</c:v>
                </c:pt>
                <c:pt idx="264">
                  <c:v>-4963797.83897088</c:v>
                </c:pt>
                <c:pt idx="265">
                  <c:v>-4512543.4899735274</c:v>
                </c:pt>
                <c:pt idx="266">
                  <c:v>-4136498.1991424002</c:v>
                </c:pt>
                <c:pt idx="267">
                  <c:v>-3818306.0299776001</c:v>
                </c:pt>
                <c:pt idx="268">
                  <c:v>-3545569.8849792005</c:v>
                </c:pt>
                <c:pt idx="269">
                  <c:v>-3309198.5593139199</c:v>
                </c:pt>
                <c:pt idx="270">
                  <c:v>-5345628.4419686394</c:v>
                </c:pt>
                <c:pt idx="271">
                  <c:v>-4859662.219971491</c:v>
                </c:pt>
                <c:pt idx="272">
                  <c:v>-4454690.3683071993</c:v>
                </c:pt>
                <c:pt idx="273">
                  <c:v>-4112021.8784374157</c:v>
                </c:pt>
                <c:pt idx="274">
                  <c:v>-3818306.0299775996</c:v>
                </c:pt>
                <c:pt idx="275">
                  <c:v>-3563752.2946457602</c:v>
                </c:pt>
                <c:pt idx="276">
                  <c:v>-5727459.0449663978</c:v>
                </c:pt>
                <c:pt idx="277">
                  <c:v>-5206780.9499694528</c:v>
                </c:pt>
                <c:pt idx="278">
                  <c:v>-4772882.5374719976</c:v>
                </c:pt>
                <c:pt idx="279">
                  <c:v>-4405737.7268972294</c:v>
                </c:pt>
                <c:pt idx="280">
                  <c:v>-4091042.1749759987</c:v>
                </c:pt>
                <c:pt idx="281">
                  <c:v>-3818306.0299775982</c:v>
                </c:pt>
                <c:pt idx="282">
                  <c:v>-6109289.6479641609</c:v>
                </c:pt>
                <c:pt idx="283">
                  <c:v>-5553899.6799674192</c:v>
                </c:pt>
                <c:pt idx="284">
                  <c:v>-5091074.7066368004</c:v>
                </c:pt>
                <c:pt idx="285">
                  <c:v>-4699453.5753570469</c:v>
                </c:pt>
                <c:pt idx="286">
                  <c:v>-4363778.319974401</c:v>
                </c:pt>
                <c:pt idx="287">
                  <c:v>-4072859.7653094404</c:v>
                </c:pt>
                <c:pt idx="288">
                  <c:v>-5969873.5039670188</c:v>
                </c:pt>
                <c:pt idx="289">
                  <c:v>-5427157.7308791084</c:v>
                </c:pt>
                <c:pt idx="290">
                  <c:v>-4974894.5866391817</c:v>
                </c:pt>
                <c:pt idx="291">
                  <c:v>-4592210.387666937</c:v>
                </c:pt>
                <c:pt idx="292">
                  <c:v>-4264195.3599764416</c:v>
                </c:pt>
                <c:pt idx="293">
                  <c:v>-3979915.669311346</c:v>
                </c:pt>
                <c:pt idx="294">
                  <c:v>-6429094.5427337112</c:v>
                </c:pt>
                <c:pt idx="295">
                  <c:v>-5844631.4024851928</c:v>
                </c:pt>
                <c:pt idx="296">
                  <c:v>-5357578.7856114265</c:v>
                </c:pt>
                <c:pt idx="297">
                  <c:v>-4945457.3405643934</c:v>
                </c:pt>
                <c:pt idx="298">
                  <c:v>-4592210.387666937</c:v>
                </c:pt>
                <c:pt idx="299">
                  <c:v>-4286063.0284891408</c:v>
                </c:pt>
                <c:pt idx="300">
                  <c:v>-6888315.5815004036</c:v>
                </c:pt>
                <c:pt idx="301">
                  <c:v>-6262105.0740912762</c:v>
                </c:pt>
                <c:pt idx="302">
                  <c:v>-5740262.9845836693</c:v>
                </c:pt>
                <c:pt idx="303">
                  <c:v>-5298704.293461849</c:v>
                </c:pt>
                <c:pt idx="304">
                  <c:v>-4920225.4153574314</c:v>
                </c:pt>
                <c:pt idx="305">
                  <c:v>-4592210.387666936</c:v>
                </c:pt>
                <c:pt idx="306">
                  <c:v>-7347536.6202671006</c:v>
                </c:pt>
                <c:pt idx="307">
                  <c:v>-6679578.7456973642</c:v>
                </c:pt>
                <c:pt idx="308">
                  <c:v>-6122947.1835559169</c:v>
                </c:pt>
                <c:pt idx="309">
                  <c:v>-5651951.2463593073</c:v>
                </c:pt>
                <c:pt idx="310">
                  <c:v>-5248240.4430479286</c:v>
                </c:pt>
                <c:pt idx="311">
                  <c:v>-4898357.7468447331</c:v>
                </c:pt>
                <c:pt idx="312">
                  <c:v>-7091606.4109737957</c:v>
                </c:pt>
                <c:pt idx="313">
                  <c:v>-6446914.9190670867</c:v>
                </c:pt>
                <c:pt idx="314">
                  <c:v>-5909672.0091448287</c:v>
                </c:pt>
                <c:pt idx="315">
                  <c:v>-5455081.8545952262</c:v>
                </c:pt>
                <c:pt idx="316">
                  <c:v>-5065433.150695567</c:v>
                </c:pt>
                <c:pt idx="317">
                  <c:v>-4727737.6073158635</c:v>
                </c:pt>
                <c:pt idx="318">
                  <c:v>-7637114.5964333173</c:v>
                </c:pt>
                <c:pt idx="319">
                  <c:v>-6942831.4513030164</c:v>
                </c:pt>
                <c:pt idx="320">
                  <c:v>-6364262.1636944311</c:v>
                </c:pt>
                <c:pt idx="321">
                  <c:v>-5874703.5357179372</c:v>
                </c:pt>
                <c:pt idx="322">
                  <c:v>-5455081.8545952272</c:v>
                </c:pt>
                <c:pt idx="323">
                  <c:v>-5091409.7309555449</c:v>
                </c:pt>
                <c:pt idx="324">
                  <c:v>-8182622.7818928361</c:v>
                </c:pt>
                <c:pt idx="325">
                  <c:v>-7438747.9835389424</c:v>
                </c:pt>
                <c:pt idx="326">
                  <c:v>-6818852.3182440316</c:v>
                </c:pt>
                <c:pt idx="327">
                  <c:v>-6294325.2168406434</c:v>
                </c:pt>
                <c:pt idx="328">
                  <c:v>-5844730.5584948845</c:v>
                </c:pt>
                <c:pt idx="329">
                  <c:v>-5455081.8545952253</c:v>
                </c:pt>
                <c:pt idx="330">
                  <c:v>-8728130.9673523623</c:v>
                </c:pt>
                <c:pt idx="331">
                  <c:v>-7934664.5157748749</c:v>
                </c:pt>
                <c:pt idx="332">
                  <c:v>-7273442.472793635</c:v>
                </c:pt>
                <c:pt idx="333">
                  <c:v>-6713946.8979633553</c:v>
                </c:pt>
                <c:pt idx="334">
                  <c:v>-6234379.2623945447</c:v>
                </c:pt>
                <c:pt idx="335">
                  <c:v>-5818753.9782349085</c:v>
                </c:pt>
                <c:pt idx="336">
                  <c:v>-8316243</c:v>
                </c:pt>
                <c:pt idx="337">
                  <c:v>-7560220.9090909082</c:v>
                </c:pt>
                <c:pt idx="338">
                  <c:v>-6930202.5</c:v>
                </c:pt>
                <c:pt idx="339">
                  <c:v>-6397110</c:v>
                </c:pt>
                <c:pt idx="340">
                  <c:v>-5940173.5714285709</c:v>
                </c:pt>
                <c:pt idx="341">
                  <c:v>-5544162</c:v>
                </c:pt>
                <c:pt idx="342">
                  <c:v>-8955954</c:v>
                </c:pt>
                <c:pt idx="343">
                  <c:v>-8141776.3636363633</c:v>
                </c:pt>
                <c:pt idx="344">
                  <c:v>-7463294.9999999991</c:v>
                </c:pt>
                <c:pt idx="345">
                  <c:v>-6889195.384615384</c:v>
                </c:pt>
                <c:pt idx="346">
                  <c:v>-6397109.9999999991</c:v>
                </c:pt>
                <c:pt idx="347">
                  <c:v>-5970636</c:v>
                </c:pt>
                <c:pt idx="348">
                  <c:v>-9595664.9999999981</c:v>
                </c:pt>
                <c:pt idx="349">
                  <c:v>-8723331.8181818165</c:v>
                </c:pt>
                <c:pt idx="350">
                  <c:v>-7996387.4999999972</c:v>
                </c:pt>
                <c:pt idx="351">
                  <c:v>-7381280.7692307672</c:v>
                </c:pt>
                <c:pt idx="352">
                  <c:v>-6854046.4285714254</c:v>
                </c:pt>
                <c:pt idx="353">
                  <c:v>-6397109.9999999991</c:v>
                </c:pt>
                <c:pt idx="354">
                  <c:v>-10235376.000000002</c:v>
                </c:pt>
                <c:pt idx="355">
                  <c:v>-9304887.2727272753</c:v>
                </c:pt>
                <c:pt idx="356">
                  <c:v>-8529480.0000000019</c:v>
                </c:pt>
                <c:pt idx="357">
                  <c:v>-7873366.1538461549</c:v>
                </c:pt>
                <c:pt idx="358">
                  <c:v>-7310982.8571428582</c:v>
                </c:pt>
                <c:pt idx="359">
                  <c:v>-6823584.0000000009</c:v>
                </c:pt>
                <c:pt idx="360">
                  <c:v>-9627090.802875001</c:v>
                </c:pt>
                <c:pt idx="361">
                  <c:v>-8751900.7298863642</c:v>
                </c:pt>
                <c:pt idx="362">
                  <c:v>-8022575.6690624999</c:v>
                </c:pt>
                <c:pt idx="363">
                  <c:v>-7405454.4637500001</c:v>
                </c:pt>
                <c:pt idx="364">
                  <c:v>-6876493.430625</c:v>
                </c:pt>
                <c:pt idx="365">
                  <c:v>-6418060.5352499997</c:v>
                </c:pt>
                <c:pt idx="366">
                  <c:v>-10367636.249249998</c:v>
                </c:pt>
                <c:pt idx="367">
                  <c:v>-9425123.8629545439</c:v>
                </c:pt>
                <c:pt idx="368">
                  <c:v>-8639696.8743749987</c:v>
                </c:pt>
                <c:pt idx="369">
                  <c:v>-7975104.8071153834</c:v>
                </c:pt>
                <c:pt idx="370">
                  <c:v>-7405454.4637499992</c:v>
                </c:pt>
                <c:pt idx="371">
                  <c:v>-6911757.4994999999</c:v>
                </c:pt>
                <c:pt idx="372">
                  <c:v>-11108181.695625</c:v>
                </c:pt>
                <c:pt idx="373">
                  <c:v>-10098346.996022725</c:v>
                </c:pt>
                <c:pt idx="374">
                  <c:v>-9256818.0796874985</c:v>
                </c:pt>
                <c:pt idx="375">
                  <c:v>-8544755.1504807677</c:v>
                </c:pt>
                <c:pt idx="376">
                  <c:v>-7934415.4968749993</c:v>
                </c:pt>
                <c:pt idx="377">
                  <c:v>-7405454.4637499992</c:v>
                </c:pt>
                <c:pt idx="378">
                  <c:v>-11848727.142000001</c:v>
                </c:pt>
                <c:pt idx="379">
                  <c:v>-10771570.129090911</c:v>
                </c:pt>
                <c:pt idx="380">
                  <c:v>-9873939.2850000001</c:v>
                </c:pt>
                <c:pt idx="381">
                  <c:v>-9114405.4938461538</c:v>
                </c:pt>
                <c:pt idx="382">
                  <c:v>-8463376.5300000012</c:v>
                </c:pt>
                <c:pt idx="383">
                  <c:v>-7899151.4280000003</c:v>
                </c:pt>
                <c:pt idx="384">
                  <c:v>-11068919.433000002</c:v>
                </c:pt>
                <c:pt idx="385">
                  <c:v>-10062654.030000001</c:v>
                </c:pt>
                <c:pt idx="386">
                  <c:v>-9224099.5275000017</c:v>
                </c:pt>
                <c:pt idx="387">
                  <c:v>-8514553.4100000001</c:v>
                </c:pt>
                <c:pt idx="388">
                  <c:v>-7906371.0235714298</c:v>
                </c:pt>
                <c:pt idx="389">
                  <c:v>-7379279.6220000004</c:v>
                </c:pt>
                <c:pt idx="390">
                  <c:v>-11920374.774</c:v>
                </c:pt>
                <c:pt idx="391">
                  <c:v>-10836704.34</c:v>
                </c:pt>
                <c:pt idx="392">
                  <c:v>-9933645.6449999996</c:v>
                </c:pt>
                <c:pt idx="393">
                  <c:v>-9169519.0569230765</c:v>
                </c:pt>
                <c:pt idx="394">
                  <c:v>-8514553.4100000001</c:v>
                </c:pt>
                <c:pt idx="395">
                  <c:v>-7946916.5159999998</c:v>
                </c:pt>
                <c:pt idx="396">
                  <c:v>-12771830.114999996</c:v>
                </c:pt>
                <c:pt idx="397">
                  <c:v>-11610754.649999999</c:v>
                </c:pt>
                <c:pt idx="398">
                  <c:v>-10643191.762499997</c:v>
                </c:pt>
                <c:pt idx="399">
                  <c:v>-9824484.703846151</c:v>
                </c:pt>
                <c:pt idx="400">
                  <c:v>-9122735.7964285687</c:v>
                </c:pt>
                <c:pt idx="401">
                  <c:v>-8514553.4099999983</c:v>
                </c:pt>
                <c:pt idx="402">
                  <c:v>-13623285.456000002</c:v>
                </c:pt>
                <c:pt idx="403">
                  <c:v>-12384804.960000001</c:v>
                </c:pt>
                <c:pt idx="404">
                  <c:v>-11352737.880000001</c:v>
                </c:pt>
                <c:pt idx="405">
                  <c:v>-10479450.350769231</c:v>
                </c:pt>
                <c:pt idx="406">
                  <c:v>-9730918.1828571446</c:v>
                </c:pt>
                <c:pt idx="407">
                  <c:v>-9082190.3040000014</c:v>
                </c:pt>
                <c:pt idx="408">
                  <c:v>-12647966.072624998</c:v>
                </c:pt>
                <c:pt idx="409">
                  <c:v>-11498150.975113636</c:v>
                </c:pt>
                <c:pt idx="410">
                  <c:v>-10539971.727187501</c:v>
                </c:pt>
                <c:pt idx="411">
                  <c:v>-9729204.6712500006</c:v>
                </c:pt>
                <c:pt idx="412">
                  <c:v>-9034261.4804464281</c:v>
                </c:pt>
                <c:pt idx="413">
                  <c:v>-8431977.3817500006</c:v>
                </c:pt>
                <c:pt idx="414">
                  <c:v>-13620886.53975</c:v>
                </c:pt>
                <c:pt idx="415">
                  <c:v>-12382624.127045454</c:v>
                </c:pt>
                <c:pt idx="416">
                  <c:v>-11350738.783125</c:v>
                </c:pt>
                <c:pt idx="417">
                  <c:v>-10477605.030576922</c:v>
                </c:pt>
                <c:pt idx="418">
                  <c:v>-9729204.6712499987</c:v>
                </c:pt>
                <c:pt idx="419">
                  <c:v>-9080591.0264999997</c:v>
                </c:pt>
                <c:pt idx="420">
                  <c:v>-14593807.006874997</c:v>
                </c:pt>
                <c:pt idx="421">
                  <c:v>-13267097.278977269</c:v>
                </c:pt>
                <c:pt idx="422">
                  <c:v>-12161505.839062497</c:v>
                </c:pt>
                <c:pt idx="423">
                  <c:v>-11226005.389903843</c:v>
                </c:pt>
                <c:pt idx="424">
                  <c:v>-10424147.862053569</c:v>
                </c:pt>
                <c:pt idx="425">
                  <c:v>-9729204.6712499987</c:v>
                </c:pt>
                <c:pt idx="426">
                  <c:v>-15566727.474000003</c:v>
                </c:pt>
                <c:pt idx="427">
                  <c:v>-14151570.430909092</c:v>
                </c:pt>
                <c:pt idx="428">
                  <c:v>-12972272.895000003</c:v>
                </c:pt>
                <c:pt idx="429">
                  <c:v>-11974405.749230772</c:v>
                </c:pt>
                <c:pt idx="430">
                  <c:v>-11119091.052857144</c:v>
                </c:pt>
                <c:pt idx="431">
                  <c:v>-10377818.316000002</c:v>
                </c:pt>
                <c:pt idx="432">
                  <c:v>-14347457.430462264</c:v>
                </c:pt>
                <c:pt idx="433">
                  <c:v>-13043143.118602058</c:v>
                </c:pt>
                <c:pt idx="434">
                  <c:v>-11956214.52538522</c:v>
                </c:pt>
                <c:pt idx="435">
                  <c:v>-11036505.715740204</c:v>
                </c:pt>
                <c:pt idx="436">
                  <c:v>-10248183.878901618</c:v>
                </c:pt>
                <c:pt idx="437">
                  <c:v>-9564971.6203081757</c:v>
                </c:pt>
                <c:pt idx="438">
                  <c:v>-15451108.002036281</c:v>
                </c:pt>
                <c:pt idx="439">
                  <c:v>-14046461.820032982</c:v>
                </c:pt>
                <c:pt idx="440">
                  <c:v>-12875923.335030235</c:v>
                </c:pt>
                <c:pt idx="441">
                  <c:v>-11885467.693874063</c:v>
                </c:pt>
                <c:pt idx="442">
                  <c:v>-11036505.715740202</c:v>
                </c:pt>
                <c:pt idx="443">
                  <c:v>-10300738.668024188</c:v>
                </c:pt>
                <c:pt idx="444">
                  <c:v>-16554758.5736103</c:v>
                </c:pt>
                <c:pt idx="445">
                  <c:v>-15049780.52146391</c:v>
                </c:pt>
                <c:pt idx="446">
                  <c:v>-13795632.144675249</c:v>
                </c:pt>
                <c:pt idx="447">
                  <c:v>-12734429.672007926</c:v>
                </c:pt>
                <c:pt idx="448">
                  <c:v>-11824827.552578786</c:v>
                </c:pt>
                <c:pt idx="449">
                  <c:v>-11036505.715740202</c:v>
                </c:pt>
                <c:pt idx="450">
                  <c:v>-17658409.145184331</c:v>
                </c:pt>
                <c:pt idx="451">
                  <c:v>-16053099.222894844</c:v>
                </c:pt>
                <c:pt idx="452">
                  <c:v>-14715340.954320274</c:v>
                </c:pt>
                <c:pt idx="453">
                  <c:v>-13583391.650141791</c:v>
                </c:pt>
                <c:pt idx="454">
                  <c:v>-12613149.389417378</c:v>
                </c:pt>
                <c:pt idx="455">
                  <c:v>-11772272.76345622</c:v>
                </c:pt>
                <c:pt idx="456">
                  <c:v>-16139855.302572912</c:v>
                </c:pt>
                <c:pt idx="457">
                  <c:v>-14672595.72961174</c:v>
                </c:pt>
                <c:pt idx="458">
                  <c:v>-13449879.418810761</c:v>
                </c:pt>
                <c:pt idx="459">
                  <c:v>-12415273.309671471</c:v>
                </c:pt>
                <c:pt idx="460">
                  <c:v>-11528468.073266366</c:v>
                </c:pt>
                <c:pt idx="461">
                  <c:v>-10759903.535048608</c:v>
                </c:pt>
                <c:pt idx="462">
                  <c:v>-17381382.633540057</c:v>
                </c:pt>
                <c:pt idx="463">
                  <c:v>-15801256.939581871</c:v>
                </c:pt>
                <c:pt idx="464">
                  <c:v>-14484485.527950047</c:v>
                </c:pt>
                <c:pt idx="465">
                  <c:v>-13370294.333492352</c:v>
                </c:pt>
                <c:pt idx="466">
                  <c:v>-12415273.309671469</c:v>
                </c:pt>
                <c:pt idx="467">
                  <c:v>-11587588.422360038</c:v>
                </c:pt>
                <c:pt idx="468">
                  <c:v>-18622909.964507204</c:v>
                </c:pt>
                <c:pt idx="469">
                  <c:v>-16929918.149552006</c:v>
                </c:pt>
                <c:pt idx="470">
                  <c:v>-15519091.637089336</c:v>
                </c:pt>
                <c:pt idx="471">
                  <c:v>-14325315.357313234</c:v>
                </c:pt>
                <c:pt idx="472">
                  <c:v>-13302078.546076573</c:v>
                </c:pt>
                <c:pt idx="473">
                  <c:v>-12415273.309671469</c:v>
                </c:pt>
                <c:pt idx="474">
                  <c:v>-19864437.295474358</c:v>
                </c:pt>
                <c:pt idx="475">
                  <c:v>-18058579.359522145</c:v>
                </c:pt>
                <c:pt idx="476">
                  <c:v>-16553697.746228633</c:v>
                </c:pt>
                <c:pt idx="477">
                  <c:v>-15280336.381134124</c:v>
                </c:pt>
                <c:pt idx="478">
                  <c:v>-14188883.782481685</c:v>
                </c:pt>
                <c:pt idx="479">
                  <c:v>-13242958.196982905</c:v>
                </c:pt>
                <c:pt idx="480">
                  <c:v>-18036739.526729595</c:v>
                </c:pt>
                <c:pt idx="481">
                  <c:v>-16397035.933390541</c:v>
                </c:pt>
                <c:pt idx="482">
                  <c:v>-15030616.272274664</c:v>
                </c:pt>
                <c:pt idx="483">
                  <c:v>-13874415.020561228</c:v>
                </c:pt>
                <c:pt idx="484">
                  <c:v>-12883385.376235427</c:v>
                </c:pt>
                <c:pt idx="485">
                  <c:v>-12024493.017819731</c:v>
                </c:pt>
                <c:pt idx="486">
                  <c:v>-19424181.028785713</c:v>
                </c:pt>
                <c:pt idx="487">
                  <c:v>-17658346.389805194</c:v>
                </c:pt>
                <c:pt idx="488">
                  <c:v>-16186817.523988096</c:v>
                </c:pt>
                <c:pt idx="489">
                  <c:v>-14941677.714450551</c:v>
                </c:pt>
                <c:pt idx="490">
                  <c:v>-13874415.020561226</c:v>
                </c:pt>
                <c:pt idx="491">
                  <c:v>-12949454.019190475</c:v>
                </c:pt>
                <c:pt idx="492">
                  <c:v>-20811622.530841842</c:v>
                </c:pt>
                <c:pt idx="493">
                  <c:v>-18919656.846219853</c:v>
                </c:pt>
                <c:pt idx="494">
                  <c:v>-17343018.775701534</c:v>
                </c:pt>
                <c:pt idx="495">
                  <c:v>-16008940.408339877</c:v>
                </c:pt>
                <c:pt idx="496">
                  <c:v>-14865444.66488703</c:v>
                </c:pt>
                <c:pt idx="497">
                  <c:v>-13874415.020561228</c:v>
                </c:pt>
                <c:pt idx="498">
                  <c:v>-22199064.032897972</c:v>
                </c:pt>
                <c:pt idx="499">
                  <c:v>-20180967.302634519</c:v>
                </c:pt>
                <c:pt idx="500">
                  <c:v>-18499220.027414974</c:v>
                </c:pt>
                <c:pt idx="501">
                  <c:v>-17076203.102229208</c:v>
                </c:pt>
                <c:pt idx="502">
                  <c:v>-15856474.309212837</c:v>
                </c:pt>
                <c:pt idx="503">
                  <c:v>-14799376.021931982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148944"/>
        <c:axId val="1640151120"/>
      </c:scatterChart>
      <c:valAx>
        <c:axId val="164014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151120"/>
        <c:crosses val="autoZero"/>
        <c:crossBetween val="midCat"/>
      </c:valAx>
      <c:valAx>
        <c:axId val="16401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148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276225</xdr:colOff>
      <xdr:row>1</xdr:row>
      <xdr:rowOff>147637</xdr:rowOff>
    </xdr:from>
    <xdr:to>
      <xdr:col>22</xdr:col>
      <xdr:colOff>581025</xdr:colOff>
      <xdr:row>16</xdr:row>
      <xdr:rowOff>33337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295275</xdr:colOff>
      <xdr:row>16</xdr:row>
      <xdr:rowOff>80962</xdr:rowOff>
    </xdr:from>
    <xdr:to>
      <xdr:col>22</xdr:col>
      <xdr:colOff>600075</xdr:colOff>
      <xdr:row>30</xdr:row>
      <xdr:rowOff>157162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295275</xdr:colOff>
      <xdr:row>31</xdr:row>
      <xdr:rowOff>100012</xdr:rowOff>
    </xdr:from>
    <xdr:to>
      <xdr:col>22</xdr:col>
      <xdr:colOff>600075</xdr:colOff>
      <xdr:row>45</xdr:row>
      <xdr:rowOff>176212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5"/>
  <sheetViews>
    <sheetView tabSelected="1" workbookViewId="0">
      <selection activeCell="J28" sqref="J28"/>
    </sheetView>
  </sheetViews>
  <sheetFormatPr defaultRowHeight="15" x14ac:dyDescent="0.25"/>
  <cols>
    <col min="2" max="2" width="9.140625" style="1"/>
    <col min="5" max="5" width="9.140625" style="1"/>
    <col min="8" max="11" width="9.140625" style="1"/>
    <col min="12" max="12" width="11.5703125" style="1" bestFit="1" customWidth="1"/>
    <col min="13" max="13" width="12.28515625" style="1" bestFit="1" customWidth="1"/>
  </cols>
  <sheetData>
    <row r="1" spans="1:13" x14ac:dyDescent="0.25">
      <c r="A1" t="s">
        <v>0</v>
      </c>
      <c r="B1" s="1" t="s">
        <v>1</v>
      </c>
      <c r="C1" t="s">
        <v>3</v>
      </c>
      <c r="D1" t="s">
        <v>4</v>
      </c>
      <c r="E1" s="1" t="s">
        <v>8</v>
      </c>
      <c r="F1" t="s">
        <v>5</v>
      </c>
      <c r="G1" t="s">
        <v>6</v>
      </c>
      <c r="H1" s="1" t="s">
        <v>10</v>
      </c>
      <c r="I1" s="1" t="s">
        <v>11</v>
      </c>
      <c r="J1" s="1" t="s">
        <v>12</v>
      </c>
      <c r="K1" s="1" t="s">
        <v>2</v>
      </c>
      <c r="L1" s="1" t="s">
        <v>7</v>
      </c>
      <c r="M1" s="1" t="s">
        <v>9</v>
      </c>
    </row>
    <row r="2" spans="1:13" x14ac:dyDescent="0.25">
      <c r="A2">
        <v>90</v>
      </c>
      <c r="B2" s="1">
        <f>A2/5</f>
        <v>18</v>
      </c>
      <c r="C2">
        <v>0.6</v>
      </c>
      <c r="D2">
        <v>1</v>
      </c>
      <c r="E2" s="1">
        <f>0.58*(C2+0.7)/C2</f>
        <v>1.2566666666666666</v>
      </c>
      <c r="F2">
        <v>1</v>
      </c>
      <c r="G2">
        <f>1</f>
        <v>1</v>
      </c>
      <c r="H2" s="1">
        <f>IF(AND(A2&gt;=90,A2&lt;300),10.75-POWER((300-A2)/100,1.5),0)</f>
        <v>7.7068108833002178</v>
      </c>
      <c r="I2" s="1">
        <f>IF(AND(A2&gt;=300,A2&lt;350),10.75,0)</f>
        <v>0</v>
      </c>
      <c r="J2" s="1">
        <f>IF(A2&gt;=350,10.75-POWER((A2-350)/150,1.5),0)</f>
        <v>0</v>
      </c>
      <c r="K2" s="1">
        <f>SUM(H2:J2)</f>
        <v>7.7068108833002178</v>
      </c>
      <c r="L2" s="1">
        <f>0.19*D2*F2*G2*K2*A2*A2*B2*C2</f>
        <v>128096.44505350957</v>
      </c>
      <c r="M2" s="1">
        <f>-0.19*E2*F2*G2*K2*A2*A2*B2*C2</f>
        <v>-160974.53261724368</v>
      </c>
    </row>
    <row r="3" spans="1:13" x14ac:dyDescent="0.25">
      <c r="A3">
        <v>90</v>
      </c>
      <c r="B3" s="1">
        <f>A3/5.5</f>
        <v>16.363636363636363</v>
      </c>
      <c r="C3">
        <v>0.6</v>
      </c>
      <c r="D3">
        <v>1</v>
      </c>
      <c r="E3" s="1">
        <f t="shared" ref="E3:E66" si="0">0.58*(C3+0.7)/C3</f>
        <v>1.2566666666666666</v>
      </c>
      <c r="F3">
        <v>1</v>
      </c>
      <c r="G3">
        <f>1</f>
        <v>1</v>
      </c>
      <c r="H3" s="1">
        <f t="shared" ref="H3:H66" si="1">IF(AND(A3&gt;=90,A3&lt;300),10.75-POWER((300-A3)/100,1.5),0)</f>
        <v>7.7068108833002178</v>
      </c>
      <c r="I3" s="1">
        <f t="shared" ref="I3:I66" si="2">IF(AND(A3&gt;=300,A3&lt;350),10.75,0)</f>
        <v>0</v>
      </c>
      <c r="J3" s="1">
        <f t="shared" ref="J3:J66" si="3">IF(A3&gt;=350,10.75-POWER((A3-350)/150,1.5),0)</f>
        <v>0</v>
      </c>
      <c r="K3" s="1">
        <f t="shared" ref="K3:K66" si="4">SUM(H3:J3)</f>
        <v>7.7068108833002178</v>
      </c>
      <c r="L3" s="1">
        <f t="shared" ref="L3:L66" si="5">0.19*D3*F3*G3*K3*A3*A3*B3*C3</f>
        <v>116451.31368500869</v>
      </c>
      <c r="M3" s="1">
        <f t="shared" ref="M3:M66" si="6">-0.19*E3*F3*G3*K3*A3*A3*B3*C3</f>
        <v>-146340.48419749425</v>
      </c>
    </row>
    <row r="4" spans="1:13" x14ac:dyDescent="0.25">
      <c r="A4">
        <v>90</v>
      </c>
      <c r="B4" s="1">
        <f>A4/6</f>
        <v>15</v>
      </c>
      <c r="C4">
        <v>0.6</v>
      </c>
      <c r="D4">
        <v>1</v>
      </c>
      <c r="E4" s="1">
        <f t="shared" si="0"/>
        <v>1.2566666666666666</v>
      </c>
      <c r="F4">
        <v>1</v>
      </c>
      <c r="G4">
        <f>1</f>
        <v>1</v>
      </c>
      <c r="H4" s="1">
        <f t="shared" si="1"/>
        <v>7.7068108833002178</v>
      </c>
      <c r="I4" s="1">
        <f t="shared" si="2"/>
        <v>0</v>
      </c>
      <c r="J4" s="1">
        <f t="shared" si="3"/>
        <v>0</v>
      </c>
      <c r="K4" s="1">
        <f t="shared" si="4"/>
        <v>7.7068108833002178</v>
      </c>
      <c r="L4" s="1">
        <f t="shared" si="5"/>
        <v>106747.03754459129</v>
      </c>
      <c r="M4" s="1">
        <f t="shared" si="6"/>
        <v>-134145.44384770305</v>
      </c>
    </row>
    <row r="5" spans="1:13" x14ac:dyDescent="0.25">
      <c r="A5">
        <v>90</v>
      </c>
      <c r="B5" s="1">
        <f>A5/6.5</f>
        <v>13.846153846153847</v>
      </c>
      <c r="C5">
        <v>0.6</v>
      </c>
      <c r="D5">
        <v>1</v>
      </c>
      <c r="E5" s="1">
        <f t="shared" si="0"/>
        <v>1.2566666666666666</v>
      </c>
      <c r="F5">
        <v>1</v>
      </c>
      <c r="G5">
        <f>1</f>
        <v>1</v>
      </c>
      <c r="H5" s="1">
        <f t="shared" si="1"/>
        <v>7.7068108833002178</v>
      </c>
      <c r="I5" s="1">
        <f t="shared" si="2"/>
        <v>0</v>
      </c>
      <c r="J5" s="1">
        <f t="shared" si="3"/>
        <v>0</v>
      </c>
      <c r="K5" s="1">
        <f t="shared" si="4"/>
        <v>7.7068108833002178</v>
      </c>
      <c r="L5" s="1">
        <f t="shared" si="5"/>
        <v>98535.726964238114</v>
      </c>
      <c r="M5" s="1">
        <f t="shared" si="6"/>
        <v>-123826.56355172591</v>
      </c>
    </row>
    <row r="6" spans="1:13" x14ac:dyDescent="0.25">
      <c r="A6">
        <v>90</v>
      </c>
      <c r="B6" s="1">
        <f>A6/7</f>
        <v>12.857142857142858</v>
      </c>
      <c r="C6">
        <v>0.6</v>
      </c>
      <c r="D6">
        <v>1</v>
      </c>
      <c r="E6" s="1">
        <f t="shared" si="0"/>
        <v>1.2566666666666666</v>
      </c>
      <c r="F6">
        <v>1</v>
      </c>
      <c r="G6">
        <f>1</f>
        <v>1</v>
      </c>
      <c r="H6" s="1">
        <f t="shared" si="1"/>
        <v>7.7068108833002178</v>
      </c>
      <c r="I6" s="1">
        <f t="shared" si="2"/>
        <v>0</v>
      </c>
      <c r="J6" s="1">
        <f t="shared" si="3"/>
        <v>0</v>
      </c>
      <c r="K6" s="1">
        <f t="shared" si="4"/>
        <v>7.7068108833002178</v>
      </c>
      <c r="L6" s="1">
        <f t="shared" si="5"/>
        <v>91497.460752506828</v>
      </c>
      <c r="M6" s="1">
        <f t="shared" si="6"/>
        <v>-114981.80901231692</v>
      </c>
    </row>
    <row r="7" spans="1:13" x14ac:dyDescent="0.25">
      <c r="A7">
        <v>90</v>
      </c>
      <c r="B7" s="1">
        <f>A7/7.5</f>
        <v>12</v>
      </c>
      <c r="C7">
        <v>0.6</v>
      </c>
      <c r="D7">
        <v>1</v>
      </c>
      <c r="E7" s="1">
        <f t="shared" si="0"/>
        <v>1.2566666666666666</v>
      </c>
      <c r="F7">
        <v>1</v>
      </c>
      <c r="G7">
        <f>1</f>
        <v>1</v>
      </c>
      <c r="H7" s="1">
        <f t="shared" si="1"/>
        <v>7.7068108833002178</v>
      </c>
      <c r="I7" s="1">
        <f t="shared" si="2"/>
        <v>0</v>
      </c>
      <c r="J7" s="1">
        <f t="shared" si="3"/>
        <v>0</v>
      </c>
      <c r="K7" s="1">
        <f t="shared" si="4"/>
        <v>7.7068108833002178</v>
      </c>
      <c r="L7" s="1">
        <f t="shared" si="5"/>
        <v>85397.63003567305</v>
      </c>
      <c r="M7" s="1">
        <f t="shared" si="6"/>
        <v>-107316.35507816245</v>
      </c>
    </row>
    <row r="8" spans="1:13" x14ac:dyDescent="0.25">
      <c r="A8">
        <v>90</v>
      </c>
      <c r="B8" s="1">
        <f>A8/5</f>
        <v>18</v>
      </c>
      <c r="C8">
        <v>0.7</v>
      </c>
      <c r="D8">
        <v>1</v>
      </c>
      <c r="E8" s="1">
        <f t="shared" si="0"/>
        <v>1.1599999999999999</v>
      </c>
      <c r="F8">
        <v>1</v>
      </c>
      <c r="G8">
        <f>1</f>
        <v>1</v>
      </c>
      <c r="H8" s="1">
        <f t="shared" si="1"/>
        <v>7.7068108833002178</v>
      </c>
      <c r="I8" s="1">
        <f t="shared" si="2"/>
        <v>0</v>
      </c>
      <c r="J8" s="1">
        <f t="shared" si="3"/>
        <v>0</v>
      </c>
      <c r="K8" s="1">
        <f t="shared" si="4"/>
        <v>7.7068108833002178</v>
      </c>
      <c r="L8" s="1">
        <f t="shared" si="5"/>
        <v>149445.85256242781</v>
      </c>
      <c r="M8" s="1">
        <f t="shared" si="6"/>
        <v>-173357.18897241625</v>
      </c>
    </row>
    <row r="9" spans="1:13" x14ac:dyDescent="0.25">
      <c r="A9">
        <v>90</v>
      </c>
      <c r="B9" s="1">
        <f>A9/5.5</f>
        <v>16.363636363636363</v>
      </c>
      <c r="C9">
        <v>0.7</v>
      </c>
      <c r="D9">
        <v>1</v>
      </c>
      <c r="E9" s="1">
        <f t="shared" si="0"/>
        <v>1.1599999999999999</v>
      </c>
      <c r="F9">
        <v>1</v>
      </c>
      <c r="G9">
        <f>1</f>
        <v>1</v>
      </c>
      <c r="H9" s="1">
        <f t="shared" si="1"/>
        <v>7.7068108833002178</v>
      </c>
      <c r="I9" s="1">
        <f t="shared" si="2"/>
        <v>0</v>
      </c>
      <c r="J9" s="1">
        <f t="shared" si="3"/>
        <v>0</v>
      </c>
      <c r="K9" s="1">
        <f t="shared" si="4"/>
        <v>7.7068108833002178</v>
      </c>
      <c r="L9" s="1">
        <f t="shared" si="5"/>
        <v>135859.86596584346</v>
      </c>
      <c r="M9" s="1">
        <f t="shared" si="6"/>
        <v>-157597.44452037843</v>
      </c>
    </row>
    <row r="10" spans="1:13" x14ac:dyDescent="0.25">
      <c r="A10">
        <v>90</v>
      </c>
      <c r="B10" s="1">
        <f>A10/6</f>
        <v>15</v>
      </c>
      <c r="C10">
        <v>0.7</v>
      </c>
      <c r="D10">
        <v>1</v>
      </c>
      <c r="E10" s="1">
        <f t="shared" si="0"/>
        <v>1.1599999999999999</v>
      </c>
      <c r="F10">
        <v>1</v>
      </c>
      <c r="G10">
        <f>1</f>
        <v>1</v>
      </c>
      <c r="H10" s="1">
        <f t="shared" si="1"/>
        <v>7.7068108833002178</v>
      </c>
      <c r="I10" s="1">
        <f t="shared" si="2"/>
        <v>0</v>
      </c>
      <c r="J10" s="1">
        <f t="shared" si="3"/>
        <v>0</v>
      </c>
      <c r="K10" s="1">
        <f t="shared" si="4"/>
        <v>7.7068108833002178</v>
      </c>
      <c r="L10" s="1">
        <f t="shared" si="5"/>
        <v>124538.21046868984</v>
      </c>
      <c r="M10" s="1">
        <f t="shared" si="6"/>
        <v>-144464.32414368022</v>
      </c>
    </row>
    <row r="11" spans="1:13" x14ac:dyDescent="0.25">
      <c r="A11">
        <v>90</v>
      </c>
      <c r="B11" s="1">
        <f>A11/6.5</f>
        <v>13.846153846153847</v>
      </c>
      <c r="C11">
        <v>0.7</v>
      </c>
      <c r="D11">
        <v>1</v>
      </c>
      <c r="E11" s="1">
        <f t="shared" si="0"/>
        <v>1.1599999999999999</v>
      </c>
      <c r="F11">
        <v>1</v>
      </c>
      <c r="G11">
        <f>1</f>
        <v>1</v>
      </c>
      <c r="H11" s="1">
        <f t="shared" si="1"/>
        <v>7.7068108833002178</v>
      </c>
      <c r="I11" s="1">
        <f t="shared" si="2"/>
        <v>0</v>
      </c>
      <c r="J11" s="1">
        <f t="shared" si="3"/>
        <v>0</v>
      </c>
      <c r="K11" s="1">
        <f t="shared" si="4"/>
        <v>7.7068108833002178</v>
      </c>
      <c r="L11" s="1">
        <f t="shared" si="5"/>
        <v>114958.34812494447</v>
      </c>
      <c r="M11" s="1">
        <f t="shared" si="6"/>
        <v>-133351.68382493558</v>
      </c>
    </row>
    <row r="12" spans="1:13" x14ac:dyDescent="0.25">
      <c r="A12">
        <v>90</v>
      </c>
      <c r="B12" s="1">
        <f>A12/7</f>
        <v>12.857142857142858</v>
      </c>
      <c r="C12">
        <v>0.7</v>
      </c>
      <c r="D12">
        <v>1</v>
      </c>
      <c r="E12" s="1">
        <f t="shared" si="0"/>
        <v>1.1599999999999999</v>
      </c>
      <c r="F12">
        <v>1</v>
      </c>
      <c r="G12">
        <f>1</f>
        <v>1</v>
      </c>
      <c r="H12" s="1">
        <f t="shared" si="1"/>
        <v>7.7068108833002178</v>
      </c>
      <c r="I12" s="1">
        <f t="shared" si="2"/>
        <v>0</v>
      </c>
      <c r="J12" s="1">
        <f t="shared" si="3"/>
        <v>0</v>
      </c>
      <c r="K12" s="1">
        <f t="shared" si="4"/>
        <v>7.7068108833002178</v>
      </c>
      <c r="L12" s="1">
        <f t="shared" si="5"/>
        <v>106747.03754459129</v>
      </c>
      <c r="M12" s="1">
        <f t="shared" si="6"/>
        <v>-123826.56355172589</v>
      </c>
    </row>
    <row r="13" spans="1:13" x14ac:dyDescent="0.25">
      <c r="A13">
        <v>90</v>
      </c>
      <c r="B13" s="1">
        <f>A13/7.5</f>
        <v>12</v>
      </c>
      <c r="C13">
        <v>0.7</v>
      </c>
      <c r="D13">
        <v>1</v>
      </c>
      <c r="E13" s="1">
        <f t="shared" si="0"/>
        <v>1.1599999999999999</v>
      </c>
      <c r="F13">
        <v>1</v>
      </c>
      <c r="G13">
        <f>1</f>
        <v>1</v>
      </c>
      <c r="H13" s="1">
        <f t="shared" si="1"/>
        <v>7.7068108833002178</v>
      </c>
      <c r="I13" s="1">
        <f t="shared" si="2"/>
        <v>0</v>
      </c>
      <c r="J13" s="1">
        <f t="shared" si="3"/>
        <v>0</v>
      </c>
      <c r="K13" s="1">
        <f t="shared" si="4"/>
        <v>7.7068108833002178</v>
      </c>
      <c r="L13" s="1">
        <f t="shared" si="5"/>
        <v>99630.568374951879</v>
      </c>
      <c r="M13" s="1">
        <f t="shared" si="6"/>
        <v>-115571.45931494416</v>
      </c>
    </row>
    <row r="14" spans="1:13" x14ac:dyDescent="0.25">
      <c r="A14">
        <v>90</v>
      </c>
      <c r="B14" s="1">
        <f>A14/5</f>
        <v>18</v>
      </c>
      <c r="C14">
        <v>0.8</v>
      </c>
      <c r="D14">
        <v>1</v>
      </c>
      <c r="E14" s="1">
        <f t="shared" si="0"/>
        <v>1.0874999999999997</v>
      </c>
      <c r="F14">
        <v>1</v>
      </c>
      <c r="G14">
        <f>1</f>
        <v>1</v>
      </c>
      <c r="H14" s="1">
        <f t="shared" si="1"/>
        <v>7.7068108833002178</v>
      </c>
      <c r="I14" s="1">
        <f t="shared" si="2"/>
        <v>0</v>
      </c>
      <c r="J14" s="1">
        <f t="shared" si="3"/>
        <v>0</v>
      </c>
      <c r="K14" s="1">
        <f t="shared" si="4"/>
        <v>7.7068108833002178</v>
      </c>
      <c r="L14" s="1">
        <f t="shared" si="5"/>
        <v>170795.2600713461</v>
      </c>
      <c r="M14" s="1">
        <f t="shared" si="6"/>
        <v>-185739.84532758885</v>
      </c>
    </row>
    <row r="15" spans="1:13" x14ac:dyDescent="0.25">
      <c r="A15">
        <v>90</v>
      </c>
      <c r="B15" s="1">
        <f>A15/5.5</f>
        <v>16.363636363636363</v>
      </c>
      <c r="C15">
        <v>0.8</v>
      </c>
      <c r="D15">
        <v>1</v>
      </c>
      <c r="E15" s="1">
        <f t="shared" si="0"/>
        <v>1.0874999999999997</v>
      </c>
      <c r="F15">
        <v>1</v>
      </c>
      <c r="G15">
        <f>1</f>
        <v>1</v>
      </c>
      <c r="H15" s="1">
        <f t="shared" si="1"/>
        <v>7.7068108833002178</v>
      </c>
      <c r="I15" s="1">
        <f t="shared" si="2"/>
        <v>0</v>
      </c>
      <c r="J15" s="1">
        <f t="shared" si="3"/>
        <v>0</v>
      </c>
      <c r="K15" s="1">
        <f t="shared" si="4"/>
        <v>7.7068108833002178</v>
      </c>
      <c r="L15" s="1">
        <f t="shared" si="5"/>
        <v>155268.41824667828</v>
      </c>
      <c r="M15" s="1">
        <f t="shared" si="6"/>
        <v>-168854.4048432626</v>
      </c>
    </row>
    <row r="16" spans="1:13" x14ac:dyDescent="0.25">
      <c r="A16">
        <v>90</v>
      </c>
      <c r="B16" s="1">
        <f>A16/6</f>
        <v>15</v>
      </c>
      <c r="C16">
        <v>0.8</v>
      </c>
      <c r="D16">
        <v>1</v>
      </c>
      <c r="E16" s="1">
        <f t="shared" si="0"/>
        <v>1.0874999999999997</v>
      </c>
      <c r="F16">
        <v>1</v>
      </c>
      <c r="G16">
        <f>1</f>
        <v>1</v>
      </c>
      <c r="H16" s="1">
        <f t="shared" si="1"/>
        <v>7.7068108833002178</v>
      </c>
      <c r="I16" s="1">
        <f t="shared" si="2"/>
        <v>0</v>
      </c>
      <c r="J16" s="1">
        <f t="shared" si="3"/>
        <v>0</v>
      </c>
      <c r="K16" s="1">
        <f t="shared" si="4"/>
        <v>7.7068108833002178</v>
      </c>
      <c r="L16" s="1">
        <f t="shared" si="5"/>
        <v>142329.38339278841</v>
      </c>
      <c r="M16" s="1">
        <f t="shared" si="6"/>
        <v>-154783.20443965736</v>
      </c>
    </row>
    <row r="17" spans="1:13" x14ac:dyDescent="0.25">
      <c r="A17">
        <v>90</v>
      </c>
      <c r="B17" s="1">
        <f>A17/6.5</f>
        <v>13.846153846153847</v>
      </c>
      <c r="C17">
        <v>0.8</v>
      </c>
      <c r="D17">
        <v>1</v>
      </c>
      <c r="E17" s="1">
        <f t="shared" si="0"/>
        <v>1.0874999999999997</v>
      </c>
      <c r="F17">
        <v>1</v>
      </c>
      <c r="G17">
        <f>1</f>
        <v>1</v>
      </c>
      <c r="H17" s="1">
        <f t="shared" si="1"/>
        <v>7.7068108833002178</v>
      </c>
      <c r="I17" s="1">
        <f t="shared" si="2"/>
        <v>0</v>
      </c>
      <c r="J17" s="1">
        <f t="shared" si="3"/>
        <v>0</v>
      </c>
      <c r="K17" s="1">
        <f t="shared" si="4"/>
        <v>7.7068108833002178</v>
      </c>
      <c r="L17" s="1">
        <f t="shared" si="5"/>
        <v>131380.96928565085</v>
      </c>
      <c r="M17" s="1">
        <f t="shared" si="6"/>
        <v>-142876.80409814528</v>
      </c>
    </row>
    <row r="18" spans="1:13" x14ac:dyDescent="0.25">
      <c r="A18">
        <v>90</v>
      </c>
      <c r="B18" s="1">
        <f>A18/7</f>
        <v>12.857142857142858</v>
      </c>
      <c r="C18">
        <v>0.8</v>
      </c>
      <c r="D18">
        <v>1</v>
      </c>
      <c r="E18" s="1">
        <f t="shared" si="0"/>
        <v>1.0874999999999997</v>
      </c>
      <c r="F18">
        <v>1</v>
      </c>
      <c r="G18">
        <f>1</f>
        <v>1</v>
      </c>
      <c r="H18" s="1">
        <f t="shared" si="1"/>
        <v>7.7068108833002178</v>
      </c>
      <c r="I18" s="1">
        <f t="shared" si="2"/>
        <v>0</v>
      </c>
      <c r="J18" s="1">
        <f t="shared" si="3"/>
        <v>0</v>
      </c>
      <c r="K18" s="1">
        <f t="shared" si="4"/>
        <v>7.7068108833002178</v>
      </c>
      <c r="L18" s="1">
        <f t="shared" si="5"/>
        <v>121996.61433667579</v>
      </c>
      <c r="M18" s="1">
        <f t="shared" si="6"/>
        <v>-132671.31809113489</v>
      </c>
    </row>
    <row r="19" spans="1:13" x14ac:dyDescent="0.25">
      <c r="A19">
        <v>90</v>
      </c>
      <c r="B19" s="1">
        <f>A19/7.5</f>
        <v>12</v>
      </c>
      <c r="C19">
        <v>0.8</v>
      </c>
      <c r="D19">
        <v>1</v>
      </c>
      <c r="E19" s="1">
        <f t="shared" si="0"/>
        <v>1.0874999999999997</v>
      </c>
      <c r="F19">
        <v>1</v>
      </c>
      <c r="G19">
        <f>1</f>
        <v>1</v>
      </c>
      <c r="H19" s="1">
        <f t="shared" si="1"/>
        <v>7.7068108833002178</v>
      </c>
      <c r="I19" s="1">
        <f t="shared" si="2"/>
        <v>0</v>
      </c>
      <c r="J19" s="1">
        <f t="shared" si="3"/>
        <v>0</v>
      </c>
      <c r="K19" s="1">
        <f t="shared" si="4"/>
        <v>7.7068108833002178</v>
      </c>
      <c r="L19" s="1">
        <f t="shared" si="5"/>
        <v>113863.50671423074</v>
      </c>
      <c r="M19" s="1">
        <f t="shared" si="6"/>
        <v>-123826.56355172589</v>
      </c>
    </row>
    <row r="20" spans="1:13" x14ac:dyDescent="0.25">
      <c r="A20">
        <v>90</v>
      </c>
      <c r="B20" s="1">
        <f>A20/5</f>
        <v>18</v>
      </c>
      <c r="C20">
        <v>0.9</v>
      </c>
      <c r="D20">
        <v>1</v>
      </c>
      <c r="E20" s="1">
        <f t="shared" si="0"/>
        <v>1.0311111111111111</v>
      </c>
      <c r="F20">
        <v>1</v>
      </c>
      <c r="G20">
        <f>1</f>
        <v>1</v>
      </c>
      <c r="H20" s="1">
        <f t="shared" si="1"/>
        <v>7.7068108833002178</v>
      </c>
      <c r="I20" s="1">
        <f t="shared" si="2"/>
        <v>0</v>
      </c>
      <c r="J20" s="1">
        <f t="shared" si="3"/>
        <v>0</v>
      </c>
      <c r="K20" s="1">
        <f t="shared" si="4"/>
        <v>7.7068108833002178</v>
      </c>
      <c r="L20" s="1">
        <f t="shared" si="5"/>
        <v>192144.66758026436</v>
      </c>
      <c r="M20" s="1">
        <f t="shared" si="6"/>
        <v>-198122.50168276147</v>
      </c>
    </row>
    <row r="21" spans="1:13" x14ac:dyDescent="0.25">
      <c r="A21">
        <v>90</v>
      </c>
      <c r="B21" s="1">
        <f>A21/5.5</f>
        <v>16.363636363636363</v>
      </c>
      <c r="C21">
        <v>0.9</v>
      </c>
      <c r="D21">
        <v>1</v>
      </c>
      <c r="E21" s="1">
        <f t="shared" si="0"/>
        <v>1.0311111111111111</v>
      </c>
      <c r="F21">
        <v>1</v>
      </c>
      <c r="G21">
        <f>1</f>
        <v>1</v>
      </c>
      <c r="H21" s="1">
        <f t="shared" si="1"/>
        <v>7.7068108833002178</v>
      </c>
      <c r="I21" s="1">
        <f t="shared" si="2"/>
        <v>0</v>
      </c>
      <c r="J21" s="1">
        <f t="shared" si="3"/>
        <v>0</v>
      </c>
      <c r="K21" s="1">
        <f t="shared" si="4"/>
        <v>7.7068108833002178</v>
      </c>
      <c r="L21" s="1">
        <f t="shared" si="5"/>
        <v>174676.97052751304</v>
      </c>
      <c r="M21" s="1">
        <f t="shared" si="6"/>
        <v>-180111.3651661468</v>
      </c>
    </row>
    <row r="22" spans="1:13" x14ac:dyDescent="0.25">
      <c r="A22">
        <v>90</v>
      </c>
      <c r="B22" s="1">
        <f>A22/6</f>
        <v>15</v>
      </c>
      <c r="C22">
        <v>0.9</v>
      </c>
      <c r="D22">
        <v>1</v>
      </c>
      <c r="E22" s="1">
        <f t="shared" si="0"/>
        <v>1.0311111111111111</v>
      </c>
      <c r="F22">
        <v>1</v>
      </c>
      <c r="G22">
        <f>1</f>
        <v>1</v>
      </c>
      <c r="H22" s="1">
        <f t="shared" si="1"/>
        <v>7.7068108833002178</v>
      </c>
      <c r="I22" s="1">
        <f t="shared" si="2"/>
        <v>0</v>
      </c>
      <c r="J22" s="1">
        <f t="shared" si="3"/>
        <v>0</v>
      </c>
      <c r="K22" s="1">
        <f t="shared" si="4"/>
        <v>7.7068108833002178</v>
      </c>
      <c r="L22" s="1">
        <f t="shared" si="5"/>
        <v>160120.55631688694</v>
      </c>
      <c r="M22" s="1">
        <f t="shared" si="6"/>
        <v>-165102.08473563456</v>
      </c>
    </row>
    <row r="23" spans="1:13" x14ac:dyDescent="0.25">
      <c r="A23">
        <v>90</v>
      </c>
      <c r="B23" s="1">
        <f>A23/6.5</f>
        <v>13.846153846153847</v>
      </c>
      <c r="C23">
        <v>0.9</v>
      </c>
      <c r="D23">
        <v>1</v>
      </c>
      <c r="E23" s="1">
        <f t="shared" si="0"/>
        <v>1.0311111111111111</v>
      </c>
      <c r="F23">
        <v>1</v>
      </c>
      <c r="G23">
        <f>1</f>
        <v>1</v>
      </c>
      <c r="H23" s="1">
        <f t="shared" si="1"/>
        <v>7.7068108833002178</v>
      </c>
      <c r="I23" s="1">
        <f t="shared" si="2"/>
        <v>0</v>
      </c>
      <c r="J23" s="1">
        <f t="shared" si="3"/>
        <v>0</v>
      </c>
      <c r="K23" s="1">
        <f t="shared" si="4"/>
        <v>7.7068108833002178</v>
      </c>
      <c r="L23" s="1">
        <f t="shared" si="5"/>
        <v>147803.59044635718</v>
      </c>
      <c r="M23" s="1">
        <f t="shared" si="6"/>
        <v>-152401.92437135498</v>
      </c>
    </row>
    <row r="24" spans="1:13" x14ac:dyDescent="0.25">
      <c r="A24">
        <v>90</v>
      </c>
      <c r="B24" s="1">
        <f>A24/7</f>
        <v>12.857142857142858</v>
      </c>
      <c r="C24">
        <v>0.9</v>
      </c>
      <c r="D24">
        <v>1</v>
      </c>
      <c r="E24" s="1">
        <f t="shared" si="0"/>
        <v>1.0311111111111111</v>
      </c>
      <c r="F24">
        <v>1</v>
      </c>
      <c r="G24">
        <f>1</f>
        <v>1</v>
      </c>
      <c r="H24" s="1">
        <f t="shared" si="1"/>
        <v>7.7068108833002178</v>
      </c>
      <c r="I24" s="1">
        <f t="shared" si="2"/>
        <v>0</v>
      </c>
      <c r="J24" s="1">
        <f t="shared" si="3"/>
        <v>0</v>
      </c>
      <c r="K24" s="1">
        <f t="shared" si="4"/>
        <v>7.7068108833002178</v>
      </c>
      <c r="L24" s="1">
        <f t="shared" si="5"/>
        <v>137246.19112876026</v>
      </c>
      <c r="M24" s="1">
        <f t="shared" si="6"/>
        <v>-141516.07263054393</v>
      </c>
    </row>
    <row r="25" spans="1:13" x14ac:dyDescent="0.25">
      <c r="A25">
        <v>90</v>
      </c>
      <c r="B25" s="1">
        <f>A25/7.5</f>
        <v>12</v>
      </c>
      <c r="C25">
        <v>0.9</v>
      </c>
      <c r="D25">
        <v>1</v>
      </c>
      <c r="E25" s="1">
        <f t="shared" si="0"/>
        <v>1.0311111111111111</v>
      </c>
      <c r="F25">
        <v>1</v>
      </c>
      <c r="G25">
        <f>1</f>
        <v>1</v>
      </c>
      <c r="H25" s="1">
        <f t="shared" si="1"/>
        <v>7.7068108833002178</v>
      </c>
      <c r="I25" s="1">
        <f t="shared" si="2"/>
        <v>0</v>
      </c>
      <c r="J25" s="1">
        <f t="shared" si="3"/>
        <v>0</v>
      </c>
      <c r="K25" s="1">
        <f t="shared" si="4"/>
        <v>7.7068108833002178</v>
      </c>
      <c r="L25" s="1">
        <f t="shared" si="5"/>
        <v>128096.44505350957</v>
      </c>
      <c r="M25" s="1">
        <f t="shared" si="6"/>
        <v>-132081.66778850765</v>
      </c>
    </row>
    <row r="26" spans="1:13" x14ac:dyDescent="0.25">
      <c r="A26">
        <f>A2+15</f>
        <v>105</v>
      </c>
      <c r="B26" s="1">
        <f>A26/5</f>
        <v>21</v>
      </c>
      <c r="C26">
        <v>0.6</v>
      </c>
      <c r="D26">
        <v>1</v>
      </c>
      <c r="E26" s="1">
        <f t="shared" si="0"/>
        <v>1.2566666666666666</v>
      </c>
      <c r="F26">
        <v>1</v>
      </c>
      <c r="G26">
        <f>1</f>
        <v>1</v>
      </c>
      <c r="H26" s="1">
        <f t="shared" si="1"/>
        <v>8.0269731914650571</v>
      </c>
      <c r="I26" s="1">
        <f t="shared" si="2"/>
        <v>0</v>
      </c>
      <c r="J26" s="1">
        <f t="shared" si="3"/>
        <v>0</v>
      </c>
      <c r="K26" s="1">
        <f t="shared" si="4"/>
        <v>8.0269731914650571</v>
      </c>
      <c r="L26" s="1">
        <f t="shared" si="5"/>
        <v>211862.72636955002</v>
      </c>
      <c r="M26" s="1">
        <f t="shared" si="6"/>
        <v>-266240.82613773446</v>
      </c>
    </row>
    <row r="27" spans="1:13" x14ac:dyDescent="0.25">
      <c r="A27">
        <f t="shared" ref="A27:A90" si="7">A3+15</f>
        <v>105</v>
      </c>
      <c r="B27" s="1">
        <f>A27/5.5</f>
        <v>19.09090909090909</v>
      </c>
      <c r="C27">
        <v>0.6</v>
      </c>
      <c r="D27">
        <v>1</v>
      </c>
      <c r="E27" s="1">
        <f t="shared" si="0"/>
        <v>1.2566666666666666</v>
      </c>
      <c r="F27">
        <v>1</v>
      </c>
      <c r="G27">
        <f>1</f>
        <v>1</v>
      </c>
      <c r="H27" s="1">
        <f t="shared" si="1"/>
        <v>8.0269731914650571</v>
      </c>
      <c r="I27" s="1">
        <f t="shared" si="2"/>
        <v>0</v>
      </c>
      <c r="J27" s="1">
        <f t="shared" si="3"/>
        <v>0</v>
      </c>
      <c r="K27" s="1">
        <f t="shared" si="4"/>
        <v>8.0269731914650571</v>
      </c>
      <c r="L27" s="1">
        <f t="shared" si="5"/>
        <v>192602.47851777272</v>
      </c>
      <c r="M27" s="1">
        <f t="shared" si="6"/>
        <v>-242037.11467066768</v>
      </c>
    </row>
    <row r="28" spans="1:13" x14ac:dyDescent="0.25">
      <c r="A28">
        <f t="shared" si="7"/>
        <v>105</v>
      </c>
      <c r="B28" s="1">
        <f>A28/6</f>
        <v>17.5</v>
      </c>
      <c r="C28">
        <v>0.6</v>
      </c>
      <c r="D28">
        <v>1</v>
      </c>
      <c r="E28" s="1">
        <f t="shared" si="0"/>
        <v>1.2566666666666666</v>
      </c>
      <c r="F28">
        <v>1</v>
      </c>
      <c r="G28">
        <f>1</f>
        <v>1</v>
      </c>
      <c r="H28" s="1">
        <f t="shared" si="1"/>
        <v>8.0269731914650571</v>
      </c>
      <c r="I28" s="1">
        <f t="shared" si="2"/>
        <v>0</v>
      </c>
      <c r="J28" s="1">
        <f t="shared" si="3"/>
        <v>0</v>
      </c>
      <c r="K28" s="1">
        <f t="shared" si="4"/>
        <v>8.0269731914650571</v>
      </c>
      <c r="L28" s="1">
        <f t="shared" si="5"/>
        <v>176552.27197462501</v>
      </c>
      <c r="M28" s="1">
        <f t="shared" si="6"/>
        <v>-221867.35511477874</v>
      </c>
    </row>
    <row r="29" spans="1:13" x14ac:dyDescent="0.25">
      <c r="A29">
        <f t="shared" si="7"/>
        <v>105</v>
      </c>
      <c r="B29" s="1">
        <f>A29/6.5</f>
        <v>16.153846153846153</v>
      </c>
      <c r="C29">
        <v>0.6</v>
      </c>
      <c r="D29">
        <v>1</v>
      </c>
      <c r="E29" s="1">
        <f t="shared" si="0"/>
        <v>1.2566666666666666</v>
      </c>
      <c r="F29">
        <v>1</v>
      </c>
      <c r="G29">
        <f>1</f>
        <v>1</v>
      </c>
      <c r="H29" s="1">
        <f t="shared" si="1"/>
        <v>8.0269731914650571</v>
      </c>
      <c r="I29" s="1">
        <f t="shared" si="2"/>
        <v>0</v>
      </c>
      <c r="J29" s="1">
        <f t="shared" si="3"/>
        <v>0</v>
      </c>
      <c r="K29" s="1">
        <f t="shared" si="4"/>
        <v>8.0269731914650571</v>
      </c>
      <c r="L29" s="1">
        <f t="shared" si="5"/>
        <v>162971.3279765769</v>
      </c>
      <c r="M29" s="1">
        <f t="shared" si="6"/>
        <v>-204800.63549056495</v>
      </c>
    </row>
    <row r="30" spans="1:13" x14ac:dyDescent="0.25">
      <c r="A30">
        <f t="shared" si="7"/>
        <v>105</v>
      </c>
      <c r="B30" s="1">
        <f>A30/7</f>
        <v>15</v>
      </c>
      <c r="C30">
        <v>0.6</v>
      </c>
      <c r="D30">
        <v>1</v>
      </c>
      <c r="E30" s="1">
        <f t="shared" si="0"/>
        <v>1.2566666666666666</v>
      </c>
      <c r="F30">
        <v>1</v>
      </c>
      <c r="G30">
        <f>1</f>
        <v>1</v>
      </c>
      <c r="H30" s="1">
        <f t="shared" si="1"/>
        <v>8.0269731914650571</v>
      </c>
      <c r="I30" s="1">
        <f t="shared" si="2"/>
        <v>0</v>
      </c>
      <c r="J30" s="1">
        <f t="shared" si="3"/>
        <v>0</v>
      </c>
      <c r="K30" s="1">
        <f t="shared" si="4"/>
        <v>8.0269731914650571</v>
      </c>
      <c r="L30" s="1">
        <f t="shared" si="5"/>
        <v>151330.51883539284</v>
      </c>
      <c r="M30" s="1">
        <f t="shared" si="6"/>
        <v>-190172.01866981032</v>
      </c>
    </row>
    <row r="31" spans="1:13" x14ac:dyDescent="0.25">
      <c r="A31">
        <f t="shared" si="7"/>
        <v>105</v>
      </c>
      <c r="B31" s="1">
        <f>A31/7.5</f>
        <v>14</v>
      </c>
      <c r="C31">
        <v>0.6</v>
      </c>
      <c r="D31">
        <v>1</v>
      </c>
      <c r="E31" s="1">
        <f t="shared" si="0"/>
        <v>1.2566666666666666</v>
      </c>
      <c r="F31">
        <v>1</v>
      </c>
      <c r="G31">
        <f>1</f>
        <v>1</v>
      </c>
      <c r="H31" s="1">
        <f t="shared" si="1"/>
        <v>8.0269731914650571</v>
      </c>
      <c r="I31" s="1">
        <f t="shared" si="2"/>
        <v>0</v>
      </c>
      <c r="J31" s="1">
        <f t="shared" si="3"/>
        <v>0</v>
      </c>
      <c r="K31" s="1">
        <f t="shared" si="4"/>
        <v>8.0269731914650571</v>
      </c>
      <c r="L31" s="1">
        <f t="shared" si="5"/>
        <v>141241.8175797</v>
      </c>
      <c r="M31" s="1">
        <f t="shared" si="6"/>
        <v>-177493.88409182298</v>
      </c>
    </row>
    <row r="32" spans="1:13" x14ac:dyDescent="0.25">
      <c r="A32">
        <f t="shared" si="7"/>
        <v>105</v>
      </c>
      <c r="B32" s="1">
        <f>A32/5</f>
        <v>21</v>
      </c>
      <c r="C32">
        <v>0.7</v>
      </c>
      <c r="D32">
        <v>1</v>
      </c>
      <c r="E32" s="1">
        <f t="shared" si="0"/>
        <v>1.1599999999999999</v>
      </c>
      <c r="F32">
        <v>1</v>
      </c>
      <c r="G32">
        <f>1</f>
        <v>1</v>
      </c>
      <c r="H32" s="1">
        <f t="shared" si="1"/>
        <v>8.0269731914650571</v>
      </c>
      <c r="I32" s="1">
        <f t="shared" si="2"/>
        <v>0</v>
      </c>
      <c r="J32" s="1">
        <f t="shared" si="3"/>
        <v>0</v>
      </c>
      <c r="K32" s="1">
        <f t="shared" si="4"/>
        <v>8.0269731914650571</v>
      </c>
      <c r="L32" s="1">
        <f t="shared" si="5"/>
        <v>247173.18076447499</v>
      </c>
      <c r="M32" s="1">
        <f t="shared" si="6"/>
        <v>-286720.88968679094</v>
      </c>
    </row>
    <row r="33" spans="1:13" x14ac:dyDescent="0.25">
      <c r="A33">
        <f t="shared" si="7"/>
        <v>105</v>
      </c>
      <c r="B33" s="1">
        <f>A33/5.5</f>
        <v>19.09090909090909</v>
      </c>
      <c r="C33">
        <v>0.7</v>
      </c>
      <c r="D33">
        <v>1</v>
      </c>
      <c r="E33" s="1">
        <f t="shared" si="0"/>
        <v>1.1599999999999999</v>
      </c>
      <c r="F33">
        <v>1</v>
      </c>
      <c r="G33">
        <f>1</f>
        <v>1</v>
      </c>
      <c r="H33" s="1">
        <f t="shared" si="1"/>
        <v>8.0269731914650571</v>
      </c>
      <c r="I33" s="1">
        <f t="shared" si="2"/>
        <v>0</v>
      </c>
      <c r="J33" s="1">
        <f t="shared" si="3"/>
        <v>0</v>
      </c>
      <c r="K33" s="1">
        <f t="shared" si="4"/>
        <v>8.0269731914650571</v>
      </c>
      <c r="L33" s="1">
        <f t="shared" si="5"/>
        <v>224702.89160406817</v>
      </c>
      <c r="M33" s="1">
        <f t="shared" si="6"/>
        <v>-260655.35426071903</v>
      </c>
    </row>
    <row r="34" spans="1:13" x14ac:dyDescent="0.25">
      <c r="A34">
        <f t="shared" si="7"/>
        <v>105</v>
      </c>
      <c r="B34" s="1">
        <f>A34/6</f>
        <v>17.5</v>
      </c>
      <c r="C34">
        <v>0.7</v>
      </c>
      <c r="D34">
        <v>1</v>
      </c>
      <c r="E34" s="1">
        <f t="shared" si="0"/>
        <v>1.1599999999999999</v>
      </c>
      <c r="F34">
        <v>1</v>
      </c>
      <c r="G34">
        <f>1</f>
        <v>1</v>
      </c>
      <c r="H34" s="1">
        <f t="shared" si="1"/>
        <v>8.0269731914650571</v>
      </c>
      <c r="I34" s="1">
        <f t="shared" si="2"/>
        <v>0</v>
      </c>
      <c r="J34" s="1">
        <f t="shared" si="3"/>
        <v>0</v>
      </c>
      <c r="K34" s="1">
        <f t="shared" si="4"/>
        <v>8.0269731914650571</v>
      </c>
      <c r="L34" s="1">
        <f t="shared" si="5"/>
        <v>205977.6506370625</v>
      </c>
      <c r="M34" s="1">
        <f t="shared" si="6"/>
        <v>-238934.07473899244</v>
      </c>
    </row>
    <row r="35" spans="1:13" x14ac:dyDescent="0.25">
      <c r="A35">
        <f t="shared" si="7"/>
        <v>105</v>
      </c>
      <c r="B35" s="1">
        <f>A35/6.5</f>
        <v>16.153846153846153</v>
      </c>
      <c r="C35">
        <v>0.7</v>
      </c>
      <c r="D35">
        <v>1</v>
      </c>
      <c r="E35" s="1">
        <f t="shared" si="0"/>
        <v>1.1599999999999999</v>
      </c>
      <c r="F35">
        <v>1</v>
      </c>
      <c r="G35">
        <f>1</f>
        <v>1</v>
      </c>
      <c r="H35" s="1">
        <f t="shared" si="1"/>
        <v>8.0269731914650571</v>
      </c>
      <c r="I35" s="1">
        <f t="shared" si="2"/>
        <v>0</v>
      </c>
      <c r="J35" s="1">
        <f t="shared" si="3"/>
        <v>0</v>
      </c>
      <c r="K35" s="1">
        <f t="shared" si="4"/>
        <v>8.0269731914650571</v>
      </c>
      <c r="L35" s="1">
        <f t="shared" si="5"/>
        <v>190133.21597267306</v>
      </c>
      <c r="M35" s="1">
        <f t="shared" si="6"/>
        <v>-220554.5305283007</v>
      </c>
    </row>
    <row r="36" spans="1:13" x14ac:dyDescent="0.25">
      <c r="A36">
        <f t="shared" si="7"/>
        <v>105</v>
      </c>
      <c r="B36" s="1">
        <f>A36/7</f>
        <v>15</v>
      </c>
      <c r="C36">
        <v>0.7</v>
      </c>
      <c r="D36">
        <v>1</v>
      </c>
      <c r="E36" s="1">
        <f t="shared" si="0"/>
        <v>1.1599999999999999</v>
      </c>
      <c r="F36">
        <v>1</v>
      </c>
      <c r="G36">
        <f>1</f>
        <v>1</v>
      </c>
      <c r="H36" s="1">
        <f t="shared" si="1"/>
        <v>8.0269731914650571</v>
      </c>
      <c r="I36" s="1">
        <f t="shared" si="2"/>
        <v>0</v>
      </c>
      <c r="J36" s="1">
        <f t="shared" si="3"/>
        <v>0</v>
      </c>
      <c r="K36" s="1">
        <f t="shared" si="4"/>
        <v>8.0269731914650571</v>
      </c>
      <c r="L36" s="1">
        <f t="shared" si="5"/>
        <v>176552.27197462498</v>
      </c>
      <c r="M36" s="1">
        <f t="shared" si="6"/>
        <v>-204800.63549056495</v>
      </c>
    </row>
    <row r="37" spans="1:13" x14ac:dyDescent="0.25">
      <c r="A37">
        <f t="shared" si="7"/>
        <v>105</v>
      </c>
      <c r="B37" s="1">
        <f>A37/7.5</f>
        <v>14</v>
      </c>
      <c r="C37">
        <v>0.7</v>
      </c>
      <c r="D37">
        <v>1</v>
      </c>
      <c r="E37" s="1">
        <f t="shared" si="0"/>
        <v>1.1599999999999999</v>
      </c>
      <c r="F37">
        <v>1</v>
      </c>
      <c r="G37">
        <f>1</f>
        <v>1</v>
      </c>
      <c r="H37" s="1">
        <f t="shared" si="1"/>
        <v>8.0269731914650571</v>
      </c>
      <c r="I37" s="1">
        <f t="shared" si="2"/>
        <v>0</v>
      </c>
      <c r="J37" s="1">
        <f t="shared" si="3"/>
        <v>0</v>
      </c>
      <c r="K37" s="1">
        <f t="shared" si="4"/>
        <v>8.0269731914650571</v>
      </c>
      <c r="L37" s="1">
        <f t="shared" si="5"/>
        <v>164782.12050964998</v>
      </c>
      <c r="M37" s="1">
        <f t="shared" si="6"/>
        <v>-191147.25979119397</v>
      </c>
    </row>
    <row r="38" spans="1:13" x14ac:dyDescent="0.25">
      <c r="A38">
        <f t="shared" si="7"/>
        <v>105</v>
      </c>
      <c r="B38" s="1">
        <f>A38/5</f>
        <v>21</v>
      </c>
      <c r="C38">
        <v>0.8</v>
      </c>
      <c r="D38">
        <v>1</v>
      </c>
      <c r="E38" s="1">
        <f t="shared" si="0"/>
        <v>1.0874999999999997</v>
      </c>
      <c r="F38">
        <v>1</v>
      </c>
      <c r="G38">
        <f>1</f>
        <v>1</v>
      </c>
      <c r="H38" s="1">
        <f t="shared" si="1"/>
        <v>8.0269731914650571</v>
      </c>
      <c r="I38" s="1">
        <f t="shared" si="2"/>
        <v>0</v>
      </c>
      <c r="J38" s="1">
        <f t="shared" si="3"/>
        <v>0</v>
      </c>
      <c r="K38" s="1">
        <f t="shared" si="4"/>
        <v>8.0269731914650571</v>
      </c>
      <c r="L38" s="1">
        <f t="shared" si="5"/>
        <v>282483.6351594</v>
      </c>
      <c r="M38" s="1">
        <f t="shared" si="6"/>
        <v>-307200.95323584741</v>
      </c>
    </row>
    <row r="39" spans="1:13" x14ac:dyDescent="0.25">
      <c r="A39">
        <f t="shared" si="7"/>
        <v>105</v>
      </c>
      <c r="B39" s="1">
        <f>A39/5.5</f>
        <v>19.09090909090909</v>
      </c>
      <c r="C39">
        <v>0.8</v>
      </c>
      <c r="D39">
        <v>1</v>
      </c>
      <c r="E39" s="1">
        <f t="shared" si="0"/>
        <v>1.0874999999999997</v>
      </c>
      <c r="F39">
        <v>1</v>
      </c>
      <c r="G39">
        <f>1</f>
        <v>1</v>
      </c>
      <c r="H39" s="1">
        <f t="shared" si="1"/>
        <v>8.0269731914650571</v>
      </c>
      <c r="I39" s="1">
        <f t="shared" si="2"/>
        <v>0</v>
      </c>
      <c r="J39" s="1">
        <f t="shared" si="3"/>
        <v>0</v>
      </c>
      <c r="K39" s="1">
        <f t="shared" si="4"/>
        <v>8.0269731914650571</v>
      </c>
      <c r="L39" s="1">
        <f t="shared" si="5"/>
        <v>256803.30469036364</v>
      </c>
      <c r="M39" s="1">
        <f t="shared" si="6"/>
        <v>-279273.59385077038</v>
      </c>
    </row>
    <row r="40" spans="1:13" x14ac:dyDescent="0.25">
      <c r="A40">
        <f t="shared" si="7"/>
        <v>105</v>
      </c>
      <c r="B40" s="1">
        <f>A40/6</f>
        <v>17.5</v>
      </c>
      <c r="C40">
        <v>0.8</v>
      </c>
      <c r="D40">
        <v>1</v>
      </c>
      <c r="E40" s="1">
        <f t="shared" si="0"/>
        <v>1.0874999999999997</v>
      </c>
      <c r="F40">
        <v>1</v>
      </c>
      <c r="G40">
        <f>1</f>
        <v>1</v>
      </c>
      <c r="H40" s="1">
        <f t="shared" si="1"/>
        <v>8.0269731914650571</v>
      </c>
      <c r="I40" s="1">
        <f t="shared" si="2"/>
        <v>0</v>
      </c>
      <c r="J40" s="1">
        <f t="shared" si="3"/>
        <v>0</v>
      </c>
      <c r="K40" s="1">
        <f t="shared" si="4"/>
        <v>8.0269731914650571</v>
      </c>
      <c r="L40" s="1">
        <f t="shared" si="5"/>
        <v>235403.02929950005</v>
      </c>
      <c r="M40" s="1">
        <f t="shared" si="6"/>
        <v>-256000.79436320617</v>
      </c>
    </row>
    <row r="41" spans="1:13" x14ac:dyDescent="0.25">
      <c r="A41">
        <f t="shared" si="7"/>
        <v>105</v>
      </c>
      <c r="B41" s="1">
        <f>A41/6.5</f>
        <v>16.153846153846153</v>
      </c>
      <c r="C41">
        <v>0.8</v>
      </c>
      <c r="D41">
        <v>1</v>
      </c>
      <c r="E41" s="1">
        <f t="shared" si="0"/>
        <v>1.0874999999999997</v>
      </c>
      <c r="F41">
        <v>1</v>
      </c>
      <c r="G41">
        <f>1</f>
        <v>1</v>
      </c>
      <c r="H41" s="1">
        <f t="shared" si="1"/>
        <v>8.0269731914650571</v>
      </c>
      <c r="I41" s="1">
        <f t="shared" si="2"/>
        <v>0</v>
      </c>
      <c r="J41" s="1">
        <f t="shared" si="3"/>
        <v>0</v>
      </c>
      <c r="K41" s="1">
        <f t="shared" si="4"/>
        <v>8.0269731914650571</v>
      </c>
      <c r="L41" s="1">
        <f t="shared" si="5"/>
        <v>217295.10396876922</v>
      </c>
      <c r="M41" s="1">
        <f t="shared" si="6"/>
        <v>-236308.42556603646</v>
      </c>
    </row>
    <row r="42" spans="1:13" x14ac:dyDescent="0.25">
      <c r="A42">
        <f t="shared" si="7"/>
        <v>105</v>
      </c>
      <c r="B42" s="1">
        <f>A42/7</f>
        <v>15</v>
      </c>
      <c r="C42">
        <v>0.8</v>
      </c>
      <c r="D42">
        <v>1</v>
      </c>
      <c r="E42" s="1">
        <f t="shared" si="0"/>
        <v>1.0874999999999997</v>
      </c>
      <c r="F42">
        <v>1</v>
      </c>
      <c r="G42">
        <f>1</f>
        <v>1</v>
      </c>
      <c r="H42" s="1">
        <f t="shared" si="1"/>
        <v>8.0269731914650571</v>
      </c>
      <c r="I42" s="1">
        <f t="shared" si="2"/>
        <v>0</v>
      </c>
      <c r="J42" s="1">
        <f t="shared" si="3"/>
        <v>0</v>
      </c>
      <c r="K42" s="1">
        <f t="shared" si="4"/>
        <v>8.0269731914650571</v>
      </c>
      <c r="L42" s="1">
        <f t="shared" si="5"/>
        <v>201774.02511385715</v>
      </c>
      <c r="M42" s="1">
        <f t="shared" si="6"/>
        <v>-219429.25231131958</v>
      </c>
    </row>
    <row r="43" spans="1:13" x14ac:dyDescent="0.25">
      <c r="A43">
        <f t="shared" si="7"/>
        <v>105</v>
      </c>
      <c r="B43" s="1">
        <f>A43/7.5</f>
        <v>14</v>
      </c>
      <c r="C43">
        <v>0.8</v>
      </c>
      <c r="D43">
        <v>1</v>
      </c>
      <c r="E43" s="1">
        <f t="shared" si="0"/>
        <v>1.0874999999999997</v>
      </c>
      <c r="F43">
        <v>1</v>
      </c>
      <c r="G43">
        <f>1</f>
        <v>1</v>
      </c>
      <c r="H43" s="1">
        <f t="shared" si="1"/>
        <v>8.0269731914650571</v>
      </c>
      <c r="I43" s="1">
        <f t="shared" si="2"/>
        <v>0</v>
      </c>
      <c r="J43" s="1">
        <f t="shared" si="3"/>
        <v>0</v>
      </c>
      <c r="K43" s="1">
        <f t="shared" si="4"/>
        <v>8.0269731914650571</v>
      </c>
      <c r="L43" s="1">
        <f t="shared" si="5"/>
        <v>188322.42343960001</v>
      </c>
      <c r="M43" s="1">
        <f t="shared" si="6"/>
        <v>-204800.63549056495</v>
      </c>
    </row>
    <row r="44" spans="1:13" x14ac:dyDescent="0.25">
      <c r="A44">
        <f t="shared" si="7"/>
        <v>105</v>
      </c>
      <c r="B44" s="1">
        <f>A44/5</f>
        <v>21</v>
      </c>
      <c r="C44">
        <v>0.9</v>
      </c>
      <c r="D44">
        <v>1</v>
      </c>
      <c r="E44" s="1">
        <f t="shared" si="0"/>
        <v>1.0311111111111111</v>
      </c>
      <c r="F44">
        <v>1</v>
      </c>
      <c r="G44">
        <f>1</f>
        <v>1</v>
      </c>
      <c r="H44" s="1">
        <f t="shared" si="1"/>
        <v>8.0269731914650571</v>
      </c>
      <c r="I44" s="1">
        <f t="shared" si="2"/>
        <v>0</v>
      </c>
      <c r="J44" s="1">
        <f t="shared" si="3"/>
        <v>0</v>
      </c>
      <c r="K44" s="1">
        <f t="shared" si="4"/>
        <v>8.0269731914650571</v>
      </c>
      <c r="L44" s="1">
        <f t="shared" si="5"/>
        <v>317794.08955432504</v>
      </c>
      <c r="M44" s="1">
        <f t="shared" si="6"/>
        <v>-327681.016784904</v>
      </c>
    </row>
    <row r="45" spans="1:13" x14ac:dyDescent="0.25">
      <c r="A45">
        <f t="shared" si="7"/>
        <v>105</v>
      </c>
      <c r="B45" s="1">
        <f>A45/5.5</f>
        <v>19.09090909090909</v>
      </c>
      <c r="C45">
        <v>0.9</v>
      </c>
      <c r="D45">
        <v>1</v>
      </c>
      <c r="E45" s="1">
        <f t="shared" si="0"/>
        <v>1.0311111111111111</v>
      </c>
      <c r="F45">
        <v>1</v>
      </c>
      <c r="G45">
        <f>1</f>
        <v>1</v>
      </c>
      <c r="H45" s="1">
        <f t="shared" si="1"/>
        <v>8.0269731914650571</v>
      </c>
      <c r="I45" s="1">
        <f t="shared" si="2"/>
        <v>0</v>
      </c>
      <c r="J45" s="1">
        <f t="shared" si="3"/>
        <v>0</v>
      </c>
      <c r="K45" s="1">
        <f t="shared" si="4"/>
        <v>8.0269731914650571</v>
      </c>
      <c r="L45" s="1">
        <f t="shared" si="5"/>
        <v>288903.71777665912</v>
      </c>
      <c r="M45" s="1">
        <f t="shared" si="6"/>
        <v>-297891.83344082185</v>
      </c>
    </row>
    <row r="46" spans="1:13" x14ac:dyDescent="0.25">
      <c r="A46">
        <f t="shared" si="7"/>
        <v>105</v>
      </c>
      <c r="B46" s="1">
        <f>A46/6</f>
        <v>17.5</v>
      </c>
      <c r="C46">
        <v>0.9</v>
      </c>
      <c r="D46">
        <v>1</v>
      </c>
      <c r="E46" s="1">
        <f t="shared" si="0"/>
        <v>1.0311111111111111</v>
      </c>
      <c r="F46">
        <v>1</v>
      </c>
      <c r="G46">
        <f>1</f>
        <v>1</v>
      </c>
      <c r="H46" s="1">
        <f t="shared" si="1"/>
        <v>8.0269731914650571</v>
      </c>
      <c r="I46" s="1">
        <f t="shared" si="2"/>
        <v>0</v>
      </c>
      <c r="J46" s="1">
        <f t="shared" si="3"/>
        <v>0</v>
      </c>
      <c r="K46" s="1">
        <f t="shared" si="4"/>
        <v>8.0269731914650571</v>
      </c>
      <c r="L46" s="1">
        <f t="shared" si="5"/>
        <v>264828.40796193754</v>
      </c>
      <c r="M46" s="1">
        <f t="shared" si="6"/>
        <v>-273067.51398742001</v>
      </c>
    </row>
    <row r="47" spans="1:13" x14ac:dyDescent="0.25">
      <c r="A47">
        <f t="shared" si="7"/>
        <v>105</v>
      </c>
      <c r="B47" s="1">
        <f>A47/6.5</f>
        <v>16.153846153846153</v>
      </c>
      <c r="C47">
        <v>0.9</v>
      </c>
      <c r="D47">
        <v>1</v>
      </c>
      <c r="E47" s="1">
        <f t="shared" si="0"/>
        <v>1.0311111111111111</v>
      </c>
      <c r="F47">
        <v>1</v>
      </c>
      <c r="G47">
        <f>1</f>
        <v>1</v>
      </c>
      <c r="H47" s="1">
        <f t="shared" si="1"/>
        <v>8.0269731914650571</v>
      </c>
      <c r="I47" s="1">
        <f t="shared" si="2"/>
        <v>0</v>
      </c>
      <c r="J47" s="1">
        <f t="shared" si="3"/>
        <v>0</v>
      </c>
      <c r="K47" s="1">
        <f t="shared" si="4"/>
        <v>8.0269731914650571</v>
      </c>
      <c r="L47" s="1">
        <f t="shared" si="5"/>
        <v>244456.99196486539</v>
      </c>
      <c r="M47" s="1">
        <f t="shared" si="6"/>
        <v>-252062.3206037723</v>
      </c>
    </row>
    <row r="48" spans="1:13" x14ac:dyDescent="0.25">
      <c r="A48">
        <f t="shared" si="7"/>
        <v>105</v>
      </c>
      <c r="B48" s="1">
        <f>A48/7</f>
        <v>15</v>
      </c>
      <c r="C48">
        <v>0.9</v>
      </c>
      <c r="D48">
        <v>1</v>
      </c>
      <c r="E48" s="1">
        <f t="shared" si="0"/>
        <v>1.0311111111111111</v>
      </c>
      <c r="F48">
        <v>1</v>
      </c>
      <c r="G48">
        <f>1</f>
        <v>1</v>
      </c>
      <c r="H48" s="1">
        <f t="shared" si="1"/>
        <v>8.0269731914650571</v>
      </c>
      <c r="I48" s="1">
        <f t="shared" si="2"/>
        <v>0</v>
      </c>
      <c r="J48" s="1">
        <f t="shared" si="3"/>
        <v>0</v>
      </c>
      <c r="K48" s="1">
        <f t="shared" si="4"/>
        <v>8.0269731914650571</v>
      </c>
      <c r="L48" s="1">
        <f t="shared" si="5"/>
        <v>226995.77825308929</v>
      </c>
      <c r="M48" s="1">
        <f t="shared" si="6"/>
        <v>-234057.86913207432</v>
      </c>
    </row>
    <row r="49" spans="1:13" x14ac:dyDescent="0.25">
      <c r="A49">
        <f t="shared" si="7"/>
        <v>105</v>
      </c>
      <c r="B49" s="1">
        <f>A49/7.5</f>
        <v>14</v>
      </c>
      <c r="C49">
        <v>0.9</v>
      </c>
      <c r="D49">
        <v>1</v>
      </c>
      <c r="E49" s="1">
        <f t="shared" si="0"/>
        <v>1.0311111111111111</v>
      </c>
      <c r="F49">
        <v>1</v>
      </c>
      <c r="G49">
        <f>1</f>
        <v>1</v>
      </c>
      <c r="H49" s="1">
        <f t="shared" si="1"/>
        <v>8.0269731914650571</v>
      </c>
      <c r="I49" s="1">
        <f t="shared" si="2"/>
        <v>0</v>
      </c>
      <c r="J49" s="1">
        <f t="shared" si="3"/>
        <v>0</v>
      </c>
      <c r="K49" s="1">
        <f t="shared" si="4"/>
        <v>8.0269731914650571</v>
      </c>
      <c r="L49" s="1">
        <f t="shared" si="5"/>
        <v>211862.72636954999</v>
      </c>
      <c r="M49" s="1">
        <f t="shared" si="6"/>
        <v>-218454.01118993602</v>
      </c>
    </row>
    <row r="50" spans="1:13" x14ac:dyDescent="0.25">
      <c r="A50">
        <f t="shared" si="7"/>
        <v>120</v>
      </c>
      <c r="B50" s="1">
        <f>A50/5</f>
        <v>24</v>
      </c>
      <c r="C50">
        <v>0.6</v>
      </c>
      <c r="D50">
        <v>1</v>
      </c>
      <c r="E50" s="1">
        <f t="shared" si="0"/>
        <v>1.2566666666666666</v>
      </c>
      <c r="F50">
        <v>1</v>
      </c>
      <c r="G50">
        <f>1</f>
        <v>1</v>
      </c>
      <c r="H50" s="1">
        <f t="shared" si="1"/>
        <v>8.3350465843002262</v>
      </c>
      <c r="I50" s="1">
        <f t="shared" si="2"/>
        <v>0</v>
      </c>
      <c r="J50" s="1">
        <f t="shared" si="3"/>
        <v>0</v>
      </c>
      <c r="K50" s="1">
        <f t="shared" si="4"/>
        <v>8.3350465843002262</v>
      </c>
      <c r="L50" s="1">
        <f t="shared" si="5"/>
        <v>328387.49934689404</v>
      </c>
      <c r="M50" s="1">
        <f t="shared" si="6"/>
        <v>-412673.62417926342</v>
      </c>
    </row>
    <row r="51" spans="1:13" x14ac:dyDescent="0.25">
      <c r="A51">
        <f t="shared" si="7"/>
        <v>120</v>
      </c>
      <c r="B51" s="1">
        <f>A51/5.5</f>
        <v>21.818181818181817</v>
      </c>
      <c r="C51">
        <v>0.6</v>
      </c>
      <c r="D51">
        <v>1</v>
      </c>
      <c r="E51" s="1">
        <f t="shared" si="0"/>
        <v>1.2566666666666666</v>
      </c>
      <c r="F51">
        <v>1</v>
      </c>
      <c r="G51">
        <f>1</f>
        <v>1</v>
      </c>
      <c r="H51" s="1">
        <f t="shared" si="1"/>
        <v>8.3350465843002262</v>
      </c>
      <c r="I51" s="1">
        <f t="shared" si="2"/>
        <v>0</v>
      </c>
      <c r="J51" s="1">
        <f t="shared" si="3"/>
        <v>0</v>
      </c>
      <c r="K51" s="1">
        <f t="shared" si="4"/>
        <v>8.3350465843002262</v>
      </c>
      <c r="L51" s="1">
        <f t="shared" si="5"/>
        <v>298534.09031535819</v>
      </c>
      <c r="M51" s="1">
        <f t="shared" si="6"/>
        <v>-375157.84016296675</v>
      </c>
    </row>
    <row r="52" spans="1:13" x14ac:dyDescent="0.25">
      <c r="A52">
        <f t="shared" si="7"/>
        <v>120</v>
      </c>
      <c r="B52" s="1">
        <f>A52/6</f>
        <v>20</v>
      </c>
      <c r="C52">
        <v>0.6</v>
      </c>
      <c r="D52">
        <v>1</v>
      </c>
      <c r="E52" s="1">
        <f t="shared" si="0"/>
        <v>1.2566666666666666</v>
      </c>
      <c r="F52">
        <v>1</v>
      </c>
      <c r="G52">
        <f>1</f>
        <v>1</v>
      </c>
      <c r="H52" s="1">
        <f t="shared" si="1"/>
        <v>8.3350465843002262</v>
      </c>
      <c r="I52" s="1">
        <f t="shared" si="2"/>
        <v>0</v>
      </c>
      <c r="J52" s="1">
        <f t="shared" si="3"/>
        <v>0</v>
      </c>
      <c r="K52" s="1">
        <f t="shared" si="4"/>
        <v>8.3350465843002262</v>
      </c>
      <c r="L52" s="1">
        <f t="shared" si="5"/>
        <v>273656.24945574504</v>
      </c>
      <c r="M52" s="1">
        <f t="shared" si="6"/>
        <v>-343894.68681605288</v>
      </c>
    </row>
    <row r="53" spans="1:13" x14ac:dyDescent="0.25">
      <c r="A53">
        <f t="shared" si="7"/>
        <v>120</v>
      </c>
      <c r="B53" s="1">
        <f>A53/6.5</f>
        <v>18.46153846153846</v>
      </c>
      <c r="C53">
        <v>0.6</v>
      </c>
      <c r="D53">
        <v>1</v>
      </c>
      <c r="E53" s="1">
        <f t="shared" si="0"/>
        <v>1.2566666666666666</v>
      </c>
      <c r="F53">
        <v>1</v>
      </c>
      <c r="G53">
        <f>1</f>
        <v>1</v>
      </c>
      <c r="H53" s="1">
        <f t="shared" si="1"/>
        <v>8.3350465843002262</v>
      </c>
      <c r="I53" s="1">
        <f t="shared" si="2"/>
        <v>0</v>
      </c>
      <c r="J53" s="1">
        <f t="shared" si="3"/>
        <v>0</v>
      </c>
      <c r="K53" s="1">
        <f t="shared" si="4"/>
        <v>8.3350465843002262</v>
      </c>
      <c r="L53" s="1">
        <f t="shared" si="5"/>
        <v>252605.76872838</v>
      </c>
      <c r="M53" s="1">
        <f t="shared" si="6"/>
        <v>-317441.24936866417</v>
      </c>
    </row>
    <row r="54" spans="1:13" x14ac:dyDescent="0.25">
      <c r="A54">
        <f t="shared" si="7"/>
        <v>120</v>
      </c>
      <c r="B54" s="1">
        <f>A54/7</f>
        <v>17.142857142857142</v>
      </c>
      <c r="C54">
        <v>0.6</v>
      </c>
      <c r="D54">
        <v>1</v>
      </c>
      <c r="E54" s="1">
        <f t="shared" si="0"/>
        <v>1.2566666666666666</v>
      </c>
      <c r="F54">
        <v>1</v>
      </c>
      <c r="G54">
        <f>1</f>
        <v>1</v>
      </c>
      <c r="H54" s="1">
        <f t="shared" si="1"/>
        <v>8.3350465843002262</v>
      </c>
      <c r="I54" s="1">
        <f t="shared" si="2"/>
        <v>0</v>
      </c>
      <c r="J54" s="1">
        <f t="shared" si="3"/>
        <v>0</v>
      </c>
      <c r="K54" s="1">
        <f t="shared" si="4"/>
        <v>8.3350465843002262</v>
      </c>
      <c r="L54" s="1">
        <f t="shared" si="5"/>
        <v>234562.49953349575</v>
      </c>
      <c r="M54" s="1">
        <f t="shared" si="6"/>
        <v>-294766.87441375962</v>
      </c>
    </row>
    <row r="55" spans="1:13" x14ac:dyDescent="0.25">
      <c r="A55">
        <f t="shared" si="7"/>
        <v>120</v>
      </c>
      <c r="B55" s="1">
        <f>A55/7.5</f>
        <v>16</v>
      </c>
      <c r="C55">
        <v>0.6</v>
      </c>
      <c r="D55">
        <v>1</v>
      </c>
      <c r="E55" s="1">
        <f t="shared" si="0"/>
        <v>1.2566666666666666</v>
      </c>
      <c r="F55">
        <v>1</v>
      </c>
      <c r="G55">
        <f>1</f>
        <v>1</v>
      </c>
      <c r="H55" s="1">
        <f t="shared" si="1"/>
        <v>8.3350465843002262</v>
      </c>
      <c r="I55" s="1">
        <f t="shared" si="2"/>
        <v>0</v>
      </c>
      <c r="J55" s="1">
        <f t="shared" si="3"/>
        <v>0</v>
      </c>
      <c r="K55" s="1">
        <f t="shared" si="4"/>
        <v>8.3350465843002262</v>
      </c>
      <c r="L55" s="1">
        <f t="shared" si="5"/>
        <v>218924.99956459602</v>
      </c>
      <c r="M55" s="1">
        <f t="shared" si="6"/>
        <v>-275115.74945284228</v>
      </c>
    </row>
    <row r="56" spans="1:13" x14ac:dyDescent="0.25">
      <c r="A56">
        <f t="shared" si="7"/>
        <v>120</v>
      </c>
      <c r="B56" s="1">
        <f>A56/5</f>
        <v>24</v>
      </c>
      <c r="C56">
        <v>0.7</v>
      </c>
      <c r="D56">
        <v>1</v>
      </c>
      <c r="E56" s="1">
        <f t="shared" si="0"/>
        <v>1.1599999999999999</v>
      </c>
      <c r="F56">
        <v>1</v>
      </c>
      <c r="G56">
        <f>1</f>
        <v>1</v>
      </c>
      <c r="H56" s="1">
        <f t="shared" si="1"/>
        <v>8.3350465843002262</v>
      </c>
      <c r="I56" s="1">
        <f t="shared" si="2"/>
        <v>0</v>
      </c>
      <c r="J56" s="1">
        <f t="shared" si="3"/>
        <v>0</v>
      </c>
      <c r="K56" s="1">
        <f t="shared" si="4"/>
        <v>8.3350465843002262</v>
      </c>
      <c r="L56" s="1">
        <f t="shared" si="5"/>
        <v>383118.74923804303</v>
      </c>
      <c r="M56" s="1">
        <f t="shared" si="6"/>
        <v>-444417.74911612988</v>
      </c>
    </row>
    <row r="57" spans="1:13" x14ac:dyDescent="0.25">
      <c r="A57">
        <f t="shared" si="7"/>
        <v>120</v>
      </c>
      <c r="B57" s="1">
        <f>A57/5.5</f>
        <v>21.818181818181817</v>
      </c>
      <c r="C57">
        <v>0.7</v>
      </c>
      <c r="D57">
        <v>1</v>
      </c>
      <c r="E57" s="1">
        <f t="shared" si="0"/>
        <v>1.1599999999999999</v>
      </c>
      <c r="F57">
        <v>1</v>
      </c>
      <c r="G57">
        <f>1</f>
        <v>1</v>
      </c>
      <c r="H57" s="1">
        <f t="shared" si="1"/>
        <v>8.3350465843002262</v>
      </c>
      <c r="I57" s="1">
        <f t="shared" si="2"/>
        <v>0</v>
      </c>
      <c r="J57" s="1">
        <f t="shared" si="3"/>
        <v>0</v>
      </c>
      <c r="K57" s="1">
        <f t="shared" si="4"/>
        <v>8.3350465843002262</v>
      </c>
      <c r="L57" s="1">
        <f t="shared" si="5"/>
        <v>348289.77203458454</v>
      </c>
      <c r="M57" s="1">
        <f t="shared" si="6"/>
        <v>-404016.13556011807</v>
      </c>
    </row>
    <row r="58" spans="1:13" x14ac:dyDescent="0.25">
      <c r="A58">
        <f t="shared" si="7"/>
        <v>120</v>
      </c>
      <c r="B58" s="1">
        <f>A58/6</f>
        <v>20</v>
      </c>
      <c r="C58">
        <v>0.7</v>
      </c>
      <c r="D58">
        <v>1</v>
      </c>
      <c r="E58" s="1">
        <f t="shared" si="0"/>
        <v>1.1599999999999999</v>
      </c>
      <c r="F58">
        <v>1</v>
      </c>
      <c r="G58">
        <f>1</f>
        <v>1</v>
      </c>
      <c r="H58" s="1">
        <f t="shared" si="1"/>
        <v>8.3350465843002262</v>
      </c>
      <c r="I58" s="1">
        <f t="shared" si="2"/>
        <v>0</v>
      </c>
      <c r="J58" s="1">
        <f t="shared" si="3"/>
        <v>0</v>
      </c>
      <c r="K58" s="1">
        <f t="shared" si="4"/>
        <v>8.3350465843002262</v>
      </c>
      <c r="L58" s="1">
        <f t="shared" si="5"/>
        <v>319265.62436503585</v>
      </c>
      <c r="M58" s="1">
        <f t="shared" si="6"/>
        <v>-370348.1242634416</v>
      </c>
    </row>
    <row r="59" spans="1:13" x14ac:dyDescent="0.25">
      <c r="A59">
        <f t="shared" si="7"/>
        <v>120</v>
      </c>
      <c r="B59" s="1">
        <f>A59/6.5</f>
        <v>18.46153846153846</v>
      </c>
      <c r="C59">
        <v>0.7</v>
      </c>
      <c r="D59">
        <v>1</v>
      </c>
      <c r="E59" s="1">
        <f t="shared" si="0"/>
        <v>1.1599999999999999</v>
      </c>
      <c r="F59">
        <v>1</v>
      </c>
      <c r="G59">
        <f>1</f>
        <v>1</v>
      </c>
      <c r="H59" s="1">
        <f t="shared" si="1"/>
        <v>8.3350465843002262</v>
      </c>
      <c r="I59" s="1">
        <f t="shared" si="2"/>
        <v>0</v>
      </c>
      <c r="J59" s="1">
        <f t="shared" si="3"/>
        <v>0</v>
      </c>
      <c r="K59" s="1">
        <f t="shared" si="4"/>
        <v>8.3350465843002262</v>
      </c>
      <c r="L59" s="1">
        <f t="shared" si="5"/>
        <v>294706.73018310999</v>
      </c>
      <c r="M59" s="1">
        <f t="shared" si="6"/>
        <v>-341859.80701240757</v>
      </c>
    </row>
    <row r="60" spans="1:13" x14ac:dyDescent="0.25">
      <c r="A60">
        <f t="shared" si="7"/>
        <v>120</v>
      </c>
      <c r="B60" s="1">
        <f>A60/7</f>
        <v>17.142857142857142</v>
      </c>
      <c r="C60">
        <v>0.7</v>
      </c>
      <c r="D60">
        <v>1</v>
      </c>
      <c r="E60" s="1">
        <f t="shared" si="0"/>
        <v>1.1599999999999999</v>
      </c>
      <c r="F60">
        <v>1</v>
      </c>
      <c r="G60">
        <f>1</f>
        <v>1</v>
      </c>
      <c r="H60" s="1">
        <f t="shared" si="1"/>
        <v>8.3350465843002262</v>
      </c>
      <c r="I60" s="1">
        <f t="shared" si="2"/>
        <v>0</v>
      </c>
      <c r="J60" s="1">
        <f t="shared" si="3"/>
        <v>0</v>
      </c>
      <c r="K60" s="1">
        <f t="shared" si="4"/>
        <v>8.3350465843002262</v>
      </c>
      <c r="L60" s="1">
        <f t="shared" si="5"/>
        <v>273656.24945574504</v>
      </c>
      <c r="M60" s="1">
        <f t="shared" si="6"/>
        <v>-317441.24936866417</v>
      </c>
    </row>
    <row r="61" spans="1:13" x14ac:dyDescent="0.25">
      <c r="A61">
        <f t="shared" si="7"/>
        <v>120</v>
      </c>
      <c r="B61" s="1">
        <f>A61/7.5</f>
        <v>16</v>
      </c>
      <c r="C61">
        <v>0.7</v>
      </c>
      <c r="D61">
        <v>1</v>
      </c>
      <c r="E61" s="1">
        <f t="shared" si="0"/>
        <v>1.1599999999999999</v>
      </c>
      <c r="F61">
        <v>1</v>
      </c>
      <c r="G61">
        <f>1</f>
        <v>1</v>
      </c>
      <c r="H61" s="1">
        <f t="shared" si="1"/>
        <v>8.3350465843002262</v>
      </c>
      <c r="I61" s="1">
        <f t="shared" si="2"/>
        <v>0</v>
      </c>
      <c r="J61" s="1">
        <f t="shared" si="3"/>
        <v>0</v>
      </c>
      <c r="K61" s="1">
        <f t="shared" si="4"/>
        <v>8.3350465843002262</v>
      </c>
      <c r="L61" s="1">
        <f t="shared" si="5"/>
        <v>255412.4994920287</v>
      </c>
      <c r="M61" s="1">
        <f t="shared" si="6"/>
        <v>-296278.49941075325</v>
      </c>
    </row>
    <row r="62" spans="1:13" x14ac:dyDescent="0.25">
      <c r="A62">
        <f t="shared" si="7"/>
        <v>120</v>
      </c>
      <c r="B62" s="1">
        <f>A62/5</f>
        <v>24</v>
      </c>
      <c r="C62">
        <v>0.8</v>
      </c>
      <c r="D62">
        <v>1</v>
      </c>
      <c r="E62" s="1">
        <f t="shared" si="0"/>
        <v>1.0874999999999997</v>
      </c>
      <c r="F62">
        <v>1</v>
      </c>
      <c r="G62">
        <f>1</f>
        <v>1</v>
      </c>
      <c r="H62" s="1">
        <f t="shared" si="1"/>
        <v>8.3350465843002262</v>
      </c>
      <c r="I62" s="1">
        <f t="shared" si="2"/>
        <v>0</v>
      </c>
      <c r="J62" s="1">
        <f t="shared" si="3"/>
        <v>0</v>
      </c>
      <c r="K62" s="1">
        <f t="shared" si="4"/>
        <v>8.3350465843002262</v>
      </c>
      <c r="L62" s="1">
        <f t="shared" si="5"/>
        <v>437849.99912919209</v>
      </c>
      <c r="M62" s="1">
        <f t="shared" si="6"/>
        <v>-476161.87405299628</v>
      </c>
    </row>
    <row r="63" spans="1:13" x14ac:dyDescent="0.25">
      <c r="A63">
        <f t="shared" si="7"/>
        <v>120</v>
      </c>
      <c r="B63" s="1">
        <f>A63/5.5</f>
        <v>21.818181818181817</v>
      </c>
      <c r="C63">
        <v>0.8</v>
      </c>
      <c r="D63">
        <v>1</v>
      </c>
      <c r="E63" s="1">
        <f t="shared" si="0"/>
        <v>1.0874999999999997</v>
      </c>
      <c r="F63">
        <v>1</v>
      </c>
      <c r="G63">
        <f>1</f>
        <v>1</v>
      </c>
      <c r="H63" s="1">
        <f t="shared" si="1"/>
        <v>8.3350465843002262</v>
      </c>
      <c r="I63" s="1">
        <f t="shared" si="2"/>
        <v>0</v>
      </c>
      <c r="J63" s="1">
        <f t="shared" si="3"/>
        <v>0</v>
      </c>
      <c r="K63" s="1">
        <f t="shared" si="4"/>
        <v>8.3350465843002262</v>
      </c>
      <c r="L63" s="1">
        <f t="shared" si="5"/>
        <v>398045.45375381096</v>
      </c>
      <c r="M63" s="1">
        <f t="shared" si="6"/>
        <v>-432874.43095726933</v>
      </c>
    </row>
    <row r="64" spans="1:13" x14ac:dyDescent="0.25">
      <c r="A64">
        <f t="shared" si="7"/>
        <v>120</v>
      </c>
      <c r="B64" s="1">
        <f>A64/6</f>
        <v>20</v>
      </c>
      <c r="C64">
        <v>0.8</v>
      </c>
      <c r="D64">
        <v>1</v>
      </c>
      <c r="E64" s="1">
        <f t="shared" si="0"/>
        <v>1.0874999999999997</v>
      </c>
      <c r="F64">
        <v>1</v>
      </c>
      <c r="G64">
        <f>1</f>
        <v>1</v>
      </c>
      <c r="H64" s="1">
        <f t="shared" si="1"/>
        <v>8.3350465843002262</v>
      </c>
      <c r="I64" s="1">
        <f t="shared" si="2"/>
        <v>0</v>
      </c>
      <c r="J64" s="1">
        <f t="shared" si="3"/>
        <v>0</v>
      </c>
      <c r="K64" s="1">
        <f t="shared" si="4"/>
        <v>8.3350465843002262</v>
      </c>
      <c r="L64" s="1">
        <f t="shared" si="5"/>
        <v>364874.99927432672</v>
      </c>
      <c r="M64" s="1">
        <f t="shared" si="6"/>
        <v>-396801.56171083031</v>
      </c>
    </row>
    <row r="65" spans="1:13" x14ac:dyDescent="0.25">
      <c r="A65">
        <f t="shared" si="7"/>
        <v>120</v>
      </c>
      <c r="B65" s="1">
        <f>A65/6.5</f>
        <v>18.46153846153846</v>
      </c>
      <c r="C65">
        <v>0.8</v>
      </c>
      <c r="D65">
        <v>1</v>
      </c>
      <c r="E65" s="1">
        <f t="shared" si="0"/>
        <v>1.0874999999999997</v>
      </c>
      <c r="F65">
        <v>1</v>
      </c>
      <c r="G65">
        <f>1</f>
        <v>1</v>
      </c>
      <c r="H65" s="1">
        <f t="shared" si="1"/>
        <v>8.3350465843002262</v>
      </c>
      <c r="I65" s="1">
        <f t="shared" si="2"/>
        <v>0</v>
      </c>
      <c r="J65" s="1">
        <f t="shared" si="3"/>
        <v>0</v>
      </c>
      <c r="K65" s="1">
        <f t="shared" si="4"/>
        <v>8.3350465843002262</v>
      </c>
      <c r="L65" s="1">
        <f t="shared" si="5"/>
        <v>336807.69163784006</v>
      </c>
      <c r="M65" s="1">
        <f t="shared" si="6"/>
        <v>-366278.36465615104</v>
      </c>
    </row>
    <row r="66" spans="1:13" x14ac:dyDescent="0.25">
      <c r="A66">
        <f t="shared" si="7"/>
        <v>120</v>
      </c>
      <c r="B66" s="1">
        <f>A66/7</f>
        <v>17.142857142857142</v>
      </c>
      <c r="C66">
        <v>0.8</v>
      </c>
      <c r="D66">
        <v>1</v>
      </c>
      <c r="E66" s="1">
        <f t="shared" si="0"/>
        <v>1.0874999999999997</v>
      </c>
      <c r="F66">
        <v>1</v>
      </c>
      <c r="G66">
        <f>1</f>
        <v>1</v>
      </c>
      <c r="H66" s="1">
        <f t="shared" si="1"/>
        <v>8.3350465843002262</v>
      </c>
      <c r="I66" s="1">
        <f t="shared" si="2"/>
        <v>0</v>
      </c>
      <c r="J66" s="1">
        <f t="shared" si="3"/>
        <v>0</v>
      </c>
      <c r="K66" s="1">
        <f t="shared" si="4"/>
        <v>8.3350465843002262</v>
      </c>
      <c r="L66" s="1">
        <f t="shared" si="5"/>
        <v>312749.99937799433</v>
      </c>
      <c r="M66" s="1">
        <f t="shared" si="6"/>
        <v>-340115.62432356877</v>
      </c>
    </row>
    <row r="67" spans="1:13" x14ac:dyDescent="0.25">
      <c r="A67">
        <f t="shared" si="7"/>
        <v>120</v>
      </c>
      <c r="B67" s="1">
        <f>A67/7.5</f>
        <v>16</v>
      </c>
      <c r="C67">
        <v>0.8</v>
      </c>
      <c r="D67">
        <v>1</v>
      </c>
      <c r="E67" s="1">
        <f t="shared" ref="E67:E130" si="8">0.58*(C67+0.7)/C67</f>
        <v>1.0874999999999997</v>
      </c>
      <c r="F67">
        <v>1</v>
      </c>
      <c r="G67">
        <f>1</f>
        <v>1</v>
      </c>
      <c r="H67" s="1">
        <f t="shared" ref="H67:H130" si="9">IF(AND(A67&gt;=90,A67&lt;300),10.75-POWER((300-A67)/100,1.5),0)</f>
        <v>8.3350465843002262</v>
      </c>
      <c r="I67" s="1">
        <f t="shared" ref="I67:I130" si="10">IF(AND(A67&gt;=300,A67&lt;350),10.75,0)</f>
        <v>0</v>
      </c>
      <c r="J67" s="1">
        <f t="shared" ref="J67:J130" si="11">IF(A67&gt;=350,10.75-POWER((A67-350)/150,1.5),0)</f>
        <v>0</v>
      </c>
      <c r="K67" s="1">
        <f t="shared" ref="K67:K130" si="12">SUM(H67:J67)</f>
        <v>8.3350465843002262</v>
      </c>
      <c r="L67" s="1">
        <f t="shared" ref="L67:L130" si="13">0.19*D67*F67*G67*K67*A67*A67*B67*C67</f>
        <v>291899.99941946141</v>
      </c>
      <c r="M67" s="1">
        <f t="shared" ref="M67:M130" si="14">-0.19*E67*F67*G67*K67*A67*A67*B67*C67</f>
        <v>-317441.24936866423</v>
      </c>
    </row>
    <row r="68" spans="1:13" x14ac:dyDescent="0.25">
      <c r="A68">
        <f t="shared" si="7"/>
        <v>120</v>
      </c>
      <c r="B68" s="1">
        <f>A68/5</f>
        <v>24</v>
      </c>
      <c r="C68">
        <v>0.9</v>
      </c>
      <c r="D68">
        <v>1</v>
      </c>
      <c r="E68" s="1">
        <f t="shared" si="8"/>
        <v>1.0311111111111111</v>
      </c>
      <c r="F68">
        <v>1</v>
      </c>
      <c r="G68">
        <f>1</f>
        <v>1</v>
      </c>
      <c r="H68" s="1">
        <f t="shared" si="9"/>
        <v>8.3350465843002262</v>
      </c>
      <c r="I68" s="1">
        <f t="shared" si="10"/>
        <v>0</v>
      </c>
      <c r="J68" s="1">
        <f t="shared" si="11"/>
        <v>0</v>
      </c>
      <c r="K68" s="1">
        <f t="shared" si="12"/>
        <v>8.3350465843002262</v>
      </c>
      <c r="L68" s="1">
        <f t="shared" si="13"/>
        <v>492581.24902034109</v>
      </c>
      <c r="M68" s="1">
        <f t="shared" si="14"/>
        <v>-507905.9989898628</v>
      </c>
    </row>
    <row r="69" spans="1:13" x14ac:dyDescent="0.25">
      <c r="A69">
        <f t="shared" si="7"/>
        <v>120</v>
      </c>
      <c r="B69" s="1">
        <f>A69/5.5</f>
        <v>21.818181818181817</v>
      </c>
      <c r="C69">
        <v>0.9</v>
      </c>
      <c r="D69">
        <v>1</v>
      </c>
      <c r="E69" s="1">
        <f t="shared" si="8"/>
        <v>1.0311111111111111</v>
      </c>
      <c r="F69">
        <v>1</v>
      </c>
      <c r="G69">
        <f>1</f>
        <v>1</v>
      </c>
      <c r="H69" s="1">
        <f t="shared" si="9"/>
        <v>8.3350465843002262</v>
      </c>
      <c r="I69" s="1">
        <f t="shared" si="10"/>
        <v>0</v>
      </c>
      <c r="J69" s="1">
        <f t="shared" si="11"/>
        <v>0</v>
      </c>
      <c r="K69" s="1">
        <f t="shared" si="12"/>
        <v>8.3350465843002262</v>
      </c>
      <c r="L69" s="1">
        <f t="shared" si="13"/>
        <v>447801.13547303731</v>
      </c>
      <c r="M69" s="1">
        <f t="shared" si="14"/>
        <v>-461732.72635442071</v>
      </c>
    </row>
    <row r="70" spans="1:13" x14ac:dyDescent="0.25">
      <c r="A70">
        <f t="shared" si="7"/>
        <v>120</v>
      </c>
      <c r="B70" s="1">
        <f>A70/6</f>
        <v>20</v>
      </c>
      <c r="C70">
        <v>0.9</v>
      </c>
      <c r="D70">
        <v>1</v>
      </c>
      <c r="E70" s="1">
        <f t="shared" si="8"/>
        <v>1.0311111111111111</v>
      </c>
      <c r="F70">
        <v>1</v>
      </c>
      <c r="G70">
        <f>1</f>
        <v>1</v>
      </c>
      <c r="H70" s="1">
        <f t="shared" si="9"/>
        <v>8.3350465843002262</v>
      </c>
      <c r="I70" s="1">
        <f t="shared" si="10"/>
        <v>0</v>
      </c>
      <c r="J70" s="1">
        <f t="shared" si="11"/>
        <v>0</v>
      </c>
      <c r="K70" s="1">
        <f t="shared" si="12"/>
        <v>8.3350465843002262</v>
      </c>
      <c r="L70" s="1">
        <f t="shared" si="13"/>
        <v>410484.37418361759</v>
      </c>
      <c r="M70" s="1">
        <f t="shared" si="14"/>
        <v>-423254.99915821897</v>
      </c>
    </row>
    <row r="71" spans="1:13" x14ac:dyDescent="0.25">
      <c r="A71">
        <f t="shared" si="7"/>
        <v>120</v>
      </c>
      <c r="B71" s="1">
        <f>A71/6.5</f>
        <v>18.46153846153846</v>
      </c>
      <c r="C71">
        <v>0.9</v>
      </c>
      <c r="D71">
        <v>1</v>
      </c>
      <c r="E71" s="1">
        <f t="shared" si="8"/>
        <v>1.0311111111111111</v>
      </c>
      <c r="F71">
        <v>1</v>
      </c>
      <c r="G71">
        <f>1</f>
        <v>1</v>
      </c>
      <c r="H71" s="1">
        <f t="shared" si="9"/>
        <v>8.3350465843002262</v>
      </c>
      <c r="I71" s="1">
        <f t="shared" si="10"/>
        <v>0</v>
      </c>
      <c r="J71" s="1">
        <f t="shared" si="11"/>
        <v>0</v>
      </c>
      <c r="K71" s="1">
        <f t="shared" si="12"/>
        <v>8.3350465843002262</v>
      </c>
      <c r="L71" s="1">
        <f t="shared" si="13"/>
        <v>378908.65309257002</v>
      </c>
      <c r="M71" s="1">
        <f t="shared" si="14"/>
        <v>-390696.92229989445</v>
      </c>
    </row>
    <row r="72" spans="1:13" x14ac:dyDescent="0.25">
      <c r="A72">
        <f t="shared" si="7"/>
        <v>120</v>
      </c>
      <c r="B72" s="1">
        <f>A72/7</f>
        <v>17.142857142857142</v>
      </c>
      <c r="C72">
        <v>0.9</v>
      </c>
      <c r="D72">
        <v>1</v>
      </c>
      <c r="E72" s="1">
        <f t="shared" si="8"/>
        <v>1.0311111111111111</v>
      </c>
      <c r="F72">
        <v>1</v>
      </c>
      <c r="G72">
        <f>1</f>
        <v>1</v>
      </c>
      <c r="H72" s="1">
        <f t="shared" si="9"/>
        <v>8.3350465843002262</v>
      </c>
      <c r="I72" s="1">
        <f t="shared" si="10"/>
        <v>0</v>
      </c>
      <c r="J72" s="1">
        <f t="shared" si="11"/>
        <v>0</v>
      </c>
      <c r="K72" s="1">
        <f t="shared" si="12"/>
        <v>8.3350465843002262</v>
      </c>
      <c r="L72" s="1">
        <f t="shared" si="13"/>
        <v>351843.74930024362</v>
      </c>
      <c r="M72" s="1">
        <f t="shared" si="14"/>
        <v>-362789.99927847343</v>
      </c>
    </row>
    <row r="73" spans="1:13" x14ac:dyDescent="0.25">
      <c r="A73">
        <f t="shared" si="7"/>
        <v>120</v>
      </c>
      <c r="B73" s="1">
        <f>A73/7.5</f>
        <v>16</v>
      </c>
      <c r="C73">
        <v>0.9</v>
      </c>
      <c r="D73">
        <v>1</v>
      </c>
      <c r="E73" s="1">
        <f t="shared" si="8"/>
        <v>1.0311111111111111</v>
      </c>
      <c r="F73">
        <v>1</v>
      </c>
      <c r="G73">
        <f>1</f>
        <v>1</v>
      </c>
      <c r="H73" s="1">
        <f t="shared" si="9"/>
        <v>8.3350465843002262</v>
      </c>
      <c r="I73" s="1">
        <f t="shared" si="10"/>
        <v>0</v>
      </c>
      <c r="J73" s="1">
        <f t="shared" si="11"/>
        <v>0</v>
      </c>
      <c r="K73" s="1">
        <f t="shared" si="12"/>
        <v>8.3350465843002262</v>
      </c>
      <c r="L73" s="1">
        <f t="shared" si="13"/>
        <v>328387.49934689404</v>
      </c>
      <c r="M73" s="1">
        <f t="shared" si="14"/>
        <v>-338603.9993265752</v>
      </c>
    </row>
    <row r="74" spans="1:13" x14ac:dyDescent="0.25">
      <c r="A74">
        <f t="shared" si="7"/>
        <v>135</v>
      </c>
      <c r="B74" s="1">
        <f>A74/5</f>
        <v>27</v>
      </c>
      <c r="C74">
        <v>0.6</v>
      </c>
      <c r="D74">
        <v>1</v>
      </c>
      <c r="E74" s="1">
        <f t="shared" si="8"/>
        <v>1.2566666666666666</v>
      </c>
      <c r="F74">
        <v>1</v>
      </c>
      <c r="G74">
        <f>1</f>
        <v>1</v>
      </c>
      <c r="H74" s="1">
        <f t="shared" si="9"/>
        <v>8.6305366245202535</v>
      </c>
      <c r="I74" s="1">
        <f t="shared" si="10"/>
        <v>0</v>
      </c>
      <c r="J74" s="1">
        <f t="shared" si="11"/>
        <v>0</v>
      </c>
      <c r="K74" s="1">
        <f t="shared" si="12"/>
        <v>8.6305366245202535</v>
      </c>
      <c r="L74" s="1">
        <f t="shared" si="13"/>
        <v>484143.32928423159</v>
      </c>
      <c r="M74" s="1">
        <f t="shared" si="14"/>
        <v>-608406.78380051767</v>
      </c>
    </row>
    <row r="75" spans="1:13" x14ac:dyDescent="0.25">
      <c r="A75">
        <f t="shared" si="7"/>
        <v>135</v>
      </c>
      <c r="B75" s="1">
        <f>A75/5.5</f>
        <v>24.545454545454547</v>
      </c>
      <c r="C75">
        <v>0.6</v>
      </c>
      <c r="D75">
        <v>1</v>
      </c>
      <c r="E75" s="1">
        <f t="shared" si="8"/>
        <v>1.2566666666666666</v>
      </c>
      <c r="F75">
        <v>1</v>
      </c>
      <c r="G75">
        <f>1</f>
        <v>1</v>
      </c>
      <c r="H75" s="1">
        <f t="shared" si="9"/>
        <v>8.6305366245202535</v>
      </c>
      <c r="I75" s="1">
        <f t="shared" si="10"/>
        <v>0</v>
      </c>
      <c r="J75" s="1">
        <f t="shared" si="11"/>
        <v>0</v>
      </c>
      <c r="K75" s="1">
        <f t="shared" si="12"/>
        <v>8.6305366245202535</v>
      </c>
      <c r="L75" s="1">
        <f t="shared" si="13"/>
        <v>440130.29934930144</v>
      </c>
      <c r="M75" s="1">
        <f t="shared" si="14"/>
        <v>-553097.07618228882</v>
      </c>
    </row>
    <row r="76" spans="1:13" x14ac:dyDescent="0.25">
      <c r="A76">
        <f t="shared" si="7"/>
        <v>135</v>
      </c>
      <c r="B76" s="1">
        <f>A76/6</f>
        <v>22.5</v>
      </c>
      <c r="C76">
        <v>0.6</v>
      </c>
      <c r="D76">
        <v>1</v>
      </c>
      <c r="E76" s="1">
        <f t="shared" si="8"/>
        <v>1.2566666666666666</v>
      </c>
      <c r="F76">
        <v>1</v>
      </c>
      <c r="G76">
        <f>1</f>
        <v>1</v>
      </c>
      <c r="H76" s="1">
        <f t="shared" si="9"/>
        <v>8.6305366245202535</v>
      </c>
      <c r="I76" s="1">
        <f t="shared" si="10"/>
        <v>0</v>
      </c>
      <c r="J76" s="1">
        <f t="shared" si="11"/>
        <v>0</v>
      </c>
      <c r="K76" s="1">
        <f t="shared" si="12"/>
        <v>8.6305366245202535</v>
      </c>
      <c r="L76" s="1">
        <f t="shared" si="13"/>
        <v>403452.77440352633</v>
      </c>
      <c r="M76" s="1">
        <f t="shared" si="14"/>
        <v>-507005.65316709806</v>
      </c>
    </row>
    <row r="77" spans="1:13" x14ac:dyDescent="0.25">
      <c r="A77">
        <f t="shared" si="7"/>
        <v>135</v>
      </c>
      <c r="B77" s="1">
        <f>A77/6.5</f>
        <v>20.76923076923077</v>
      </c>
      <c r="C77">
        <v>0.6</v>
      </c>
      <c r="D77">
        <v>1</v>
      </c>
      <c r="E77" s="1">
        <f t="shared" si="8"/>
        <v>1.2566666666666666</v>
      </c>
      <c r="F77">
        <v>1</v>
      </c>
      <c r="G77">
        <f>1</f>
        <v>1</v>
      </c>
      <c r="H77" s="1">
        <f t="shared" si="9"/>
        <v>8.6305366245202535</v>
      </c>
      <c r="I77" s="1">
        <f t="shared" si="10"/>
        <v>0</v>
      </c>
      <c r="J77" s="1">
        <f t="shared" si="11"/>
        <v>0</v>
      </c>
      <c r="K77" s="1">
        <f t="shared" si="12"/>
        <v>8.6305366245202535</v>
      </c>
      <c r="L77" s="1">
        <f t="shared" si="13"/>
        <v>372417.94560325512</v>
      </c>
      <c r="M77" s="1">
        <f t="shared" si="14"/>
        <v>-468005.21830809052</v>
      </c>
    </row>
    <row r="78" spans="1:13" x14ac:dyDescent="0.25">
      <c r="A78">
        <f t="shared" si="7"/>
        <v>135</v>
      </c>
      <c r="B78" s="1">
        <f>A78/7</f>
        <v>19.285714285714285</v>
      </c>
      <c r="C78">
        <v>0.6</v>
      </c>
      <c r="D78">
        <v>1</v>
      </c>
      <c r="E78" s="1">
        <f t="shared" si="8"/>
        <v>1.2566666666666666</v>
      </c>
      <c r="F78">
        <v>1</v>
      </c>
      <c r="G78">
        <f>1</f>
        <v>1</v>
      </c>
      <c r="H78" s="1">
        <f t="shared" si="9"/>
        <v>8.6305366245202535</v>
      </c>
      <c r="I78" s="1">
        <f t="shared" si="10"/>
        <v>0</v>
      </c>
      <c r="J78" s="1">
        <f t="shared" si="11"/>
        <v>0</v>
      </c>
      <c r="K78" s="1">
        <f t="shared" si="12"/>
        <v>8.6305366245202535</v>
      </c>
      <c r="L78" s="1">
        <f t="shared" si="13"/>
        <v>345816.66377445118</v>
      </c>
      <c r="M78" s="1">
        <f t="shared" si="14"/>
        <v>-434576.27414322691</v>
      </c>
    </row>
    <row r="79" spans="1:13" x14ac:dyDescent="0.25">
      <c r="A79">
        <f t="shared" si="7"/>
        <v>135</v>
      </c>
      <c r="B79" s="1">
        <f>A79/7.5</f>
        <v>18</v>
      </c>
      <c r="C79">
        <v>0.6</v>
      </c>
      <c r="D79">
        <v>1</v>
      </c>
      <c r="E79" s="1">
        <f t="shared" si="8"/>
        <v>1.2566666666666666</v>
      </c>
      <c r="F79">
        <v>1</v>
      </c>
      <c r="G79">
        <f>1</f>
        <v>1</v>
      </c>
      <c r="H79" s="1">
        <f t="shared" si="9"/>
        <v>8.6305366245202535</v>
      </c>
      <c r="I79" s="1">
        <f t="shared" si="10"/>
        <v>0</v>
      </c>
      <c r="J79" s="1">
        <f t="shared" si="11"/>
        <v>0</v>
      </c>
      <c r="K79" s="1">
        <f t="shared" si="12"/>
        <v>8.6305366245202535</v>
      </c>
      <c r="L79" s="1">
        <f t="shared" si="13"/>
        <v>322762.21952282108</v>
      </c>
      <c r="M79" s="1">
        <f t="shared" si="14"/>
        <v>-405604.52253367845</v>
      </c>
    </row>
    <row r="80" spans="1:13" x14ac:dyDescent="0.25">
      <c r="A80">
        <f t="shared" si="7"/>
        <v>135</v>
      </c>
      <c r="B80" s="1">
        <f>A80/5</f>
        <v>27</v>
      </c>
      <c r="C80">
        <v>0.7</v>
      </c>
      <c r="D80">
        <v>1</v>
      </c>
      <c r="E80" s="1">
        <f t="shared" si="8"/>
        <v>1.1599999999999999</v>
      </c>
      <c r="F80">
        <v>1</v>
      </c>
      <c r="G80">
        <f>1</f>
        <v>1</v>
      </c>
      <c r="H80" s="1">
        <f t="shared" si="9"/>
        <v>8.6305366245202535</v>
      </c>
      <c r="I80" s="1">
        <f t="shared" si="10"/>
        <v>0</v>
      </c>
      <c r="J80" s="1">
        <f t="shared" si="11"/>
        <v>0</v>
      </c>
      <c r="K80" s="1">
        <f t="shared" si="12"/>
        <v>8.6305366245202535</v>
      </c>
      <c r="L80" s="1">
        <f t="shared" si="13"/>
        <v>564833.88416493684</v>
      </c>
      <c r="M80" s="1">
        <f t="shared" si="14"/>
        <v>-655207.30563132674</v>
      </c>
    </row>
    <row r="81" spans="1:13" x14ac:dyDescent="0.25">
      <c r="A81">
        <f t="shared" si="7"/>
        <v>135</v>
      </c>
      <c r="B81" s="1">
        <f>A81/5.5</f>
        <v>24.545454545454547</v>
      </c>
      <c r="C81">
        <v>0.7</v>
      </c>
      <c r="D81">
        <v>1</v>
      </c>
      <c r="E81" s="1">
        <f t="shared" si="8"/>
        <v>1.1599999999999999</v>
      </c>
      <c r="F81">
        <v>1</v>
      </c>
      <c r="G81">
        <f>1</f>
        <v>1</v>
      </c>
      <c r="H81" s="1">
        <f t="shared" si="9"/>
        <v>8.6305366245202535</v>
      </c>
      <c r="I81" s="1">
        <f t="shared" si="10"/>
        <v>0</v>
      </c>
      <c r="J81" s="1">
        <f t="shared" si="11"/>
        <v>0</v>
      </c>
      <c r="K81" s="1">
        <f t="shared" si="12"/>
        <v>8.6305366245202535</v>
      </c>
      <c r="L81" s="1">
        <f t="shared" si="13"/>
        <v>513485.3492408517</v>
      </c>
      <c r="M81" s="1">
        <f t="shared" si="14"/>
        <v>-595643.00511938788</v>
      </c>
    </row>
    <row r="82" spans="1:13" x14ac:dyDescent="0.25">
      <c r="A82">
        <f t="shared" si="7"/>
        <v>135</v>
      </c>
      <c r="B82" s="1">
        <f>A82/6</f>
        <v>22.5</v>
      </c>
      <c r="C82">
        <v>0.7</v>
      </c>
      <c r="D82">
        <v>1</v>
      </c>
      <c r="E82" s="1">
        <f t="shared" si="8"/>
        <v>1.1599999999999999</v>
      </c>
      <c r="F82">
        <v>1</v>
      </c>
      <c r="G82">
        <f>1</f>
        <v>1</v>
      </c>
      <c r="H82" s="1">
        <f t="shared" si="9"/>
        <v>8.6305366245202535</v>
      </c>
      <c r="I82" s="1">
        <f t="shared" si="10"/>
        <v>0</v>
      </c>
      <c r="J82" s="1">
        <f t="shared" si="11"/>
        <v>0</v>
      </c>
      <c r="K82" s="1">
        <f t="shared" si="12"/>
        <v>8.6305366245202535</v>
      </c>
      <c r="L82" s="1">
        <f t="shared" si="13"/>
        <v>470694.9034707807</v>
      </c>
      <c r="M82" s="1">
        <f t="shared" si="14"/>
        <v>-546006.08802610554</v>
      </c>
    </row>
    <row r="83" spans="1:13" x14ac:dyDescent="0.25">
      <c r="A83">
        <f t="shared" si="7"/>
        <v>135</v>
      </c>
      <c r="B83" s="1">
        <f>A83/6.5</f>
        <v>20.76923076923077</v>
      </c>
      <c r="C83">
        <v>0.7</v>
      </c>
      <c r="D83">
        <v>1</v>
      </c>
      <c r="E83" s="1">
        <f t="shared" si="8"/>
        <v>1.1599999999999999</v>
      </c>
      <c r="F83">
        <v>1</v>
      </c>
      <c r="G83">
        <f>1</f>
        <v>1</v>
      </c>
      <c r="H83" s="1">
        <f t="shared" si="9"/>
        <v>8.6305366245202535</v>
      </c>
      <c r="I83" s="1">
        <f t="shared" si="10"/>
        <v>0</v>
      </c>
      <c r="J83" s="1">
        <f t="shared" si="11"/>
        <v>0</v>
      </c>
      <c r="K83" s="1">
        <f t="shared" si="12"/>
        <v>8.6305366245202535</v>
      </c>
      <c r="L83" s="1">
        <f t="shared" si="13"/>
        <v>434487.6032037976</v>
      </c>
      <c r="M83" s="1">
        <f t="shared" si="14"/>
        <v>-504005.61971640517</v>
      </c>
    </row>
    <row r="84" spans="1:13" x14ac:dyDescent="0.25">
      <c r="A84">
        <f t="shared" si="7"/>
        <v>135</v>
      </c>
      <c r="B84" s="1">
        <f>A84/7</f>
        <v>19.285714285714285</v>
      </c>
      <c r="C84">
        <v>0.7</v>
      </c>
      <c r="D84">
        <v>1</v>
      </c>
      <c r="E84" s="1">
        <f t="shared" si="8"/>
        <v>1.1599999999999999</v>
      </c>
      <c r="F84">
        <v>1</v>
      </c>
      <c r="G84">
        <f>1</f>
        <v>1</v>
      </c>
      <c r="H84" s="1">
        <f t="shared" si="9"/>
        <v>8.6305366245202535</v>
      </c>
      <c r="I84" s="1">
        <f t="shared" si="10"/>
        <v>0</v>
      </c>
      <c r="J84" s="1">
        <f t="shared" si="11"/>
        <v>0</v>
      </c>
      <c r="K84" s="1">
        <f t="shared" si="12"/>
        <v>8.6305366245202535</v>
      </c>
      <c r="L84" s="1">
        <f t="shared" si="13"/>
        <v>403452.77440352633</v>
      </c>
      <c r="M84" s="1">
        <f t="shared" si="14"/>
        <v>-468005.21830809047</v>
      </c>
    </row>
    <row r="85" spans="1:13" x14ac:dyDescent="0.25">
      <c r="A85">
        <f t="shared" si="7"/>
        <v>135</v>
      </c>
      <c r="B85" s="1">
        <f>A85/7.5</f>
        <v>18</v>
      </c>
      <c r="C85">
        <v>0.7</v>
      </c>
      <c r="D85">
        <v>1</v>
      </c>
      <c r="E85" s="1">
        <f t="shared" si="8"/>
        <v>1.1599999999999999</v>
      </c>
      <c r="F85">
        <v>1</v>
      </c>
      <c r="G85">
        <f>1</f>
        <v>1</v>
      </c>
      <c r="H85" s="1">
        <f t="shared" si="9"/>
        <v>8.6305366245202535</v>
      </c>
      <c r="I85" s="1">
        <f t="shared" si="10"/>
        <v>0</v>
      </c>
      <c r="J85" s="1">
        <f t="shared" si="11"/>
        <v>0</v>
      </c>
      <c r="K85" s="1">
        <f t="shared" si="12"/>
        <v>8.6305366245202535</v>
      </c>
      <c r="L85" s="1">
        <f t="shared" si="13"/>
        <v>376555.92277662462</v>
      </c>
      <c r="M85" s="1">
        <f t="shared" si="14"/>
        <v>-436804.87042088452</v>
      </c>
    </row>
    <row r="86" spans="1:13" x14ac:dyDescent="0.25">
      <c r="A86">
        <f t="shared" si="7"/>
        <v>135</v>
      </c>
      <c r="B86" s="1">
        <f>A86/5</f>
        <v>27</v>
      </c>
      <c r="C86">
        <v>0.8</v>
      </c>
      <c r="D86">
        <v>1</v>
      </c>
      <c r="E86" s="1">
        <f t="shared" si="8"/>
        <v>1.0874999999999997</v>
      </c>
      <c r="F86">
        <v>1</v>
      </c>
      <c r="G86">
        <f>1</f>
        <v>1</v>
      </c>
      <c r="H86" s="1">
        <f t="shared" si="9"/>
        <v>8.6305366245202535</v>
      </c>
      <c r="I86" s="1">
        <f t="shared" si="10"/>
        <v>0</v>
      </c>
      <c r="J86" s="1">
        <f t="shared" si="11"/>
        <v>0</v>
      </c>
      <c r="K86" s="1">
        <f t="shared" si="12"/>
        <v>8.6305366245202535</v>
      </c>
      <c r="L86" s="1">
        <f t="shared" si="13"/>
        <v>645524.43904564215</v>
      </c>
      <c r="M86" s="1">
        <f t="shared" si="14"/>
        <v>-702007.8274621357</v>
      </c>
    </row>
    <row r="87" spans="1:13" x14ac:dyDescent="0.25">
      <c r="A87">
        <f t="shared" si="7"/>
        <v>135</v>
      </c>
      <c r="B87" s="1">
        <f>A87/5.5</f>
        <v>24.545454545454547</v>
      </c>
      <c r="C87">
        <v>0.8</v>
      </c>
      <c r="D87">
        <v>1</v>
      </c>
      <c r="E87" s="1">
        <f t="shared" si="8"/>
        <v>1.0874999999999997</v>
      </c>
      <c r="F87">
        <v>1</v>
      </c>
      <c r="G87">
        <f>1</f>
        <v>1</v>
      </c>
      <c r="H87" s="1">
        <f t="shared" si="9"/>
        <v>8.6305366245202535</v>
      </c>
      <c r="I87" s="1">
        <f t="shared" si="10"/>
        <v>0</v>
      </c>
      <c r="J87" s="1">
        <f t="shared" si="11"/>
        <v>0</v>
      </c>
      <c r="K87" s="1">
        <f t="shared" si="12"/>
        <v>8.6305366245202535</v>
      </c>
      <c r="L87" s="1">
        <f t="shared" si="13"/>
        <v>586840.39913240203</v>
      </c>
      <c r="M87" s="1">
        <f t="shared" si="14"/>
        <v>-638188.93405648693</v>
      </c>
    </row>
    <row r="88" spans="1:13" x14ac:dyDescent="0.25">
      <c r="A88">
        <f t="shared" si="7"/>
        <v>135</v>
      </c>
      <c r="B88" s="1">
        <f>A88/6</f>
        <v>22.5</v>
      </c>
      <c r="C88">
        <v>0.8</v>
      </c>
      <c r="D88">
        <v>1</v>
      </c>
      <c r="E88" s="1">
        <f t="shared" si="8"/>
        <v>1.0874999999999997</v>
      </c>
      <c r="F88">
        <v>1</v>
      </c>
      <c r="G88">
        <f>1</f>
        <v>1</v>
      </c>
      <c r="H88" s="1">
        <f t="shared" si="9"/>
        <v>8.6305366245202535</v>
      </c>
      <c r="I88" s="1">
        <f t="shared" si="10"/>
        <v>0</v>
      </c>
      <c r="J88" s="1">
        <f t="shared" si="11"/>
        <v>0</v>
      </c>
      <c r="K88" s="1">
        <f t="shared" si="12"/>
        <v>8.6305366245202535</v>
      </c>
      <c r="L88" s="1">
        <f t="shared" si="13"/>
        <v>537937.03253803519</v>
      </c>
      <c r="M88" s="1">
        <f t="shared" si="14"/>
        <v>-585006.52288511302</v>
      </c>
    </row>
    <row r="89" spans="1:13" x14ac:dyDescent="0.25">
      <c r="A89">
        <f t="shared" si="7"/>
        <v>135</v>
      </c>
      <c r="B89" s="1">
        <f>A89/6.5</f>
        <v>20.76923076923077</v>
      </c>
      <c r="C89">
        <v>0.8</v>
      </c>
      <c r="D89">
        <v>1</v>
      </c>
      <c r="E89" s="1">
        <f t="shared" si="8"/>
        <v>1.0874999999999997</v>
      </c>
      <c r="F89">
        <v>1</v>
      </c>
      <c r="G89">
        <f>1</f>
        <v>1</v>
      </c>
      <c r="H89" s="1">
        <f t="shared" si="9"/>
        <v>8.6305366245202535</v>
      </c>
      <c r="I89" s="1">
        <f t="shared" si="10"/>
        <v>0</v>
      </c>
      <c r="J89" s="1">
        <f t="shared" si="11"/>
        <v>0</v>
      </c>
      <c r="K89" s="1">
        <f t="shared" si="12"/>
        <v>8.6305366245202535</v>
      </c>
      <c r="L89" s="1">
        <f t="shared" si="13"/>
        <v>496557.26080434019</v>
      </c>
      <c r="M89" s="1">
        <f t="shared" si="14"/>
        <v>-540006.02112471976</v>
      </c>
    </row>
    <row r="90" spans="1:13" x14ac:dyDescent="0.25">
      <c r="A90">
        <f t="shared" si="7"/>
        <v>135</v>
      </c>
      <c r="B90" s="1">
        <f>A90/7</f>
        <v>19.285714285714285</v>
      </c>
      <c r="C90">
        <v>0.8</v>
      </c>
      <c r="D90">
        <v>1</v>
      </c>
      <c r="E90" s="1">
        <f t="shared" si="8"/>
        <v>1.0874999999999997</v>
      </c>
      <c r="F90">
        <v>1</v>
      </c>
      <c r="G90">
        <f>1</f>
        <v>1</v>
      </c>
      <c r="H90" s="1">
        <f t="shared" si="9"/>
        <v>8.6305366245202535</v>
      </c>
      <c r="I90" s="1">
        <f t="shared" si="10"/>
        <v>0</v>
      </c>
      <c r="J90" s="1">
        <f t="shared" si="11"/>
        <v>0</v>
      </c>
      <c r="K90" s="1">
        <f t="shared" si="12"/>
        <v>8.6305366245202535</v>
      </c>
      <c r="L90" s="1">
        <f t="shared" si="13"/>
        <v>461088.8850326016</v>
      </c>
      <c r="M90" s="1">
        <f t="shared" si="14"/>
        <v>-501434.16247295402</v>
      </c>
    </row>
    <row r="91" spans="1:13" x14ac:dyDescent="0.25">
      <c r="A91">
        <f t="shared" ref="A91:A154" si="15">A67+15</f>
        <v>135</v>
      </c>
      <c r="B91" s="1">
        <f>A91/7.5</f>
        <v>18</v>
      </c>
      <c r="C91">
        <v>0.8</v>
      </c>
      <c r="D91">
        <v>1</v>
      </c>
      <c r="E91" s="1">
        <f t="shared" si="8"/>
        <v>1.0874999999999997</v>
      </c>
      <c r="F91">
        <v>1</v>
      </c>
      <c r="G91">
        <f>1</f>
        <v>1</v>
      </c>
      <c r="H91" s="1">
        <f t="shared" si="9"/>
        <v>8.6305366245202535</v>
      </c>
      <c r="I91" s="1">
        <f t="shared" si="10"/>
        <v>0</v>
      </c>
      <c r="J91" s="1">
        <f t="shared" si="11"/>
        <v>0</v>
      </c>
      <c r="K91" s="1">
        <f t="shared" si="12"/>
        <v>8.6305366245202535</v>
      </c>
      <c r="L91" s="1">
        <f t="shared" si="13"/>
        <v>430349.62603042816</v>
      </c>
      <c r="M91" s="1">
        <f t="shared" si="14"/>
        <v>-468005.21830809047</v>
      </c>
    </row>
    <row r="92" spans="1:13" x14ac:dyDescent="0.25">
      <c r="A92">
        <f t="shared" si="15"/>
        <v>135</v>
      </c>
      <c r="B92" s="1">
        <f>A92/5</f>
        <v>27</v>
      </c>
      <c r="C92">
        <v>0.9</v>
      </c>
      <c r="D92">
        <v>1</v>
      </c>
      <c r="E92" s="1">
        <f t="shared" si="8"/>
        <v>1.0311111111111111</v>
      </c>
      <c r="F92">
        <v>1</v>
      </c>
      <c r="G92">
        <f>1</f>
        <v>1</v>
      </c>
      <c r="H92" s="1">
        <f t="shared" si="9"/>
        <v>8.6305366245202535</v>
      </c>
      <c r="I92" s="1">
        <f t="shared" si="10"/>
        <v>0</v>
      </c>
      <c r="J92" s="1">
        <f t="shared" si="11"/>
        <v>0</v>
      </c>
      <c r="K92" s="1">
        <f t="shared" si="12"/>
        <v>8.6305366245202535</v>
      </c>
      <c r="L92" s="1">
        <f t="shared" si="13"/>
        <v>726214.99392634747</v>
      </c>
      <c r="M92" s="1">
        <f t="shared" si="14"/>
        <v>-748808.34929294488</v>
      </c>
    </row>
    <row r="93" spans="1:13" x14ac:dyDescent="0.25">
      <c r="A93">
        <f t="shared" si="15"/>
        <v>135</v>
      </c>
      <c r="B93" s="1">
        <f>A93/5.5</f>
        <v>24.545454545454547</v>
      </c>
      <c r="C93">
        <v>0.9</v>
      </c>
      <c r="D93">
        <v>1</v>
      </c>
      <c r="E93" s="1">
        <f t="shared" si="8"/>
        <v>1.0311111111111111</v>
      </c>
      <c r="F93">
        <v>1</v>
      </c>
      <c r="G93">
        <f>1</f>
        <v>1</v>
      </c>
      <c r="H93" s="1">
        <f t="shared" si="9"/>
        <v>8.6305366245202535</v>
      </c>
      <c r="I93" s="1">
        <f t="shared" si="10"/>
        <v>0</v>
      </c>
      <c r="J93" s="1">
        <f t="shared" si="11"/>
        <v>0</v>
      </c>
      <c r="K93" s="1">
        <f t="shared" si="12"/>
        <v>8.6305366245202535</v>
      </c>
      <c r="L93" s="1">
        <f t="shared" si="13"/>
        <v>660195.44902395224</v>
      </c>
      <c r="M93" s="1">
        <f t="shared" si="14"/>
        <v>-680734.86299358634</v>
      </c>
    </row>
    <row r="94" spans="1:13" x14ac:dyDescent="0.25">
      <c r="A94">
        <f t="shared" si="15"/>
        <v>135</v>
      </c>
      <c r="B94" s="1">
        <f>A94/6</f>
        <v>22.5</v>
      </c>
      <c r="C94">
        <v>0.9</v>
      </c>
      <c r="D94">
        <v>1</v>
      </c>
      <c r="E94" s="1">
        <f t="shared" si="8"/>
        <v>1.0311111111111111</v>
      </c>
      <c r="F94">
        <v>1</v>
      </c>
      <c r="G94">
        <f>1</f>
        <v>1</v>
      </c>
      <c r="H94" s="1">
        <f t="shared" si="9"/>
        <v>8.6305366245202535</v>
      </c>
      <c r="I94" s="1">
        <f t="shared" si="10"/>
        <v>0</v>
      </c>
      <c r="J94" s="1">
        <f t="shared" si="11"/>
        <v>0</v>
      </c>
      <c r="K94" s="1">
        <f t="shared" si="12"/>
        <v>8.6305366245202535</v>
      </c>
      <c r="L94" s="1">
        <f t="shared" si="13"/>
        <v>605179.16160528956</v>
      </c>
      <c r="M94" s="1">
        <f t="shared" si="14"/>
        <v>-624006.95774412074</v>
      </c>
    </row>
    <row r="95" spans="1:13" x14ac:dyDescent="0.25">
      <c r="A95">
        <f t="shared" si="15"/>
        <v>135</v>
      </c>
      <c r="B95" s="1">
        <f>A95/6.5</f>
        <v>20.76923076923077</v>
      </c>
      <c r="C95">
        <v>0.9</v>
      </c>
      <c r="D95">
        <v>1</v>
      </c>
      <c r="E95" s="1">
        <f t="shared" si="8"/>
        <v>1.0311111111111111</v>
      </c>
      <c r="F95">
        <v>1</v>
      </c>
      <c r="G95">
        <f>1</f>
        <v>1</v>
      </c>
      <c r="H95" s="1">
        <f t="shared" si="9"/>
        <v>8.6305366245202535</v>
      </c>
      <c r="I95" s="1">
        <f t="shared" si="10"/>
        <v>0</v>
      </c>
      <c r="J95" s="1">
        <f t="shared" si="11"/>
        <v>0</v>
      </c>
      <c r="K95" s="1">
        <f t="shared" si="12"/>
        <v>8.6305366245202535</v>
      </c>
      <c r="L95" s="1">
        <f t="shared" si="13"/>
        <v>558626.91840488266</v>
      </c>
      <c r="M95" s="1">
        <f t="shared" si="14"/>
        <v>-576006.42253303458</v>
      </c>
    </row>
    <row r="96" spans="1:13" x14ac:dyDescent="0.25">
      <c r="A96">
        <f t="shared" si="15"/>
        <v>135</v>
      </c>
      <c r="B96" s="1">
        <f>A96/7</f>
        <v>19.285714285714285</v>
      </c>
      <c r="C96">
        <v>0.9</v>
      </c>
      <c r="D96">
        <v>1</v>
      </c>
      <c r="E96" s="1">
        <f t="shared" si="8"/>
        <v>1.0311111111111111</v>
      </c>
      <c r="F96">
        <v>1</v>
      </c>
      <c r="G96">
        <f>1</f>
        <v>1</v>
      </c>
      <c r="H96" s="1">
        <f t="shared" si="9"/>
        <v>8.6305366245202535</v>
      </c>
      <c r="I96" s="1">
        <f t="shared" si="10"/>
        <v>0</v>
      </c>
      <c r="J96" s="1">
        <f t="shared" si="11"/>
        <v>0</v>
      </c>
      <c r="K96" s="1">
        <f t="shared" si="12"/>
        <v>8.6305366245202535</v>
      </c>
      <c r="L96" s="1">
        <f t="shared" si="13"/>
        <v>518724.99566167674</v>
      </c>
      <c r="M96" s="1">
        <f t="shared" si="14"/>
        <v>-534863.10663781781</v>
      </c>
    </row>
    <row r="97" spans="1:13" x14ac:dyDescent="0.25">
      <c r="A97">
        <f t="shared" si="15"/>
        <v>135</v>
      </c>
      <c r="B97" s="1">
        <f>A97/7.5</f>
        <v>18</v>
      </c>
      <c r="C97">
        <v>0.9</v>
      </c>
      <c r="D97">
        <v>1</v>
      </c>
      <c r="E97" s="1">
        <f t="shared" si="8"/>
        <v>1.0311111111111111</v>
      </c>
      <c r="F97">
        <v>1</v>
      </c>
      <c r="G97">
        <f>1</f>
        <v>1</v>
      </c>
      <c r="H97" s="1">
        <f t="shared" si="9"/>
        <v>8.6305366245202535</v>
      </c>
      <c r="I97" s="1">
        <f t="shared" si="10"/>
        <v>0</v>
      </c>
      <c r="J97" s="1">
        <f t="shared" si="11"/>
        <v>0</v>
      </c>
      <c r="K97" s="1">
        <f t="shared" si="12"/>
        <v>8.6305366245202535</v>
      </c>
      <c r="L97" s="1">
        <f t="shared" si="13"/>
        <v>484143.3292842317</v>
      </c>
      <c r="M97" s="1">
        <f t="shared" si="14"/>
        <v>-499205.56619529659</v>
      </c>
    </row>
    <row r="98" spans="1:13" x14ac:dyDescent="0.25">
      <c r="A98">
        <f t="shared" si="15"/>
        <v>150</v>
      </c>
      <c r="B98" s="1">
        <f>A98/5</f>
        <v>30</v>
      </c>
      <c r="C98">
        <v>0.6</v>
      </c>
      <c r="D98">
        <v>1</v>
      </c>
      <c r="E98" s="1">
        <f t="shared" si="8"/>
        <v>1.2566666666666666</v>
      </c>
      <c r="F98">
        <v>1</v>
      </c>
      <c r="G98">
        <f>1</f>
        <v>1</v>
      </c>
      <c r="H98" s="1">
        <f t="shared" si="9"/>
        <v>8.9128826929126159</v>
      </c>
      <c r="I98" s="1">
        <f t="shared" si="10"/>
        <v>0</v>
      </c>
      <c r="J98" s="1">
        <f t="shared" si="11"/>
        <v>0</v>
      </c>
      <c r="K98" s="1">
        <f t="shared" si="12"/>
        <v>8.9128826929126159</v>
      </c>
      <c r="L98" s="1">
        <f t="shared" si="13"/>
        <v>685846.32321962574</v>
      </c>
      <c r="M98" s="1">
        <f t="shared" si="14"/>
        <v>-861880.21284599626</v>
      </c>
    </row>
    <row r="99" spans="1:13" x14ac:dyDescent="0.25">
      <c r="A99">
        <f t="shared" si="15"/>
        <v>150</v>
      </c>
      <c r="B99" s="1">
        <f>A99/5.5</f>
        <v>27.272727272727273</v>
      </c>
      <c r="C99">
        <v>0.6</v>
      </c>
      <c r="D99">
        <v>1</v>
      </c>
      <c r="E99" s="1">
        <f t="shared" si="8"/>
        <v>1.2566666666666666</v>
      </c>
      <c r="F99">
        <v>1</v>
      </c>
      <c r="G99">
        <f>1</f>
        <v>1</v>
      </c>
      <c r="H99" s="1">
        <f t="shared" si="9"/>
        <v>8.9128826929126159</v>
      </c>
      <c r="I99" s="1">
        <f t="shared" si="10"/>
        <v>0</v>
      </c>
      <c r="J99" s="1">
        <f t="shared" si="11"/>
        <v>0</v>
      </c>
      <c r="K99" s="1">
        <f t="shared" si="12"/>
        <v>8.9128826929126159</v>
      </c>
      <c r="L99" s="1">
        <f t="shared" si="13"/>
        <v>623496.65747238707</v>
      </c>
      <c r="M99" s="1">
        <f t="shared" si="14"/>
        <v>-783527.46622363303</v>
      </c>
    </row>
    <row r="100" spans="1:13" x14ac:dyDescent="0.25">
      <c r="A100">
        <f t="shared" si="15"/>
        <v>150</v>
      </c>
      <c r="B100" s="1">
        <f>A100/6</f>
        <v>25</v>
      </c>
      <c r="C100">
        <v>0.6</v>
      </c>
      <c r="D100">
        <v>1</v>
      </c>
      <c r="E100" s="1">
        <f t="shared" si="8"/>
        <v>1.2566666666666666</v>
      </c>
      <c r="F100">
        <v>1</v>
      </c>
      <c r="G100">
        <f>1</f>
        <v>1</v>
      </c>
      <c r="H100" s="1">
        <f t="shared" si="9"/>
        <v>8.9128826929126159</v>
      </c>
      <c r="I100" s="1">
        <f t="shared" si="10"/>
        <v>0</v>
      </c>
      <c r="J100" s="1">
        <f t="shared" si="11"/>
        <v>0</v>
      </c>
      <c r="K100" s="1">
        <f t="shared" si="12"/>
        <v>8.9128826929126159</v>
      </c>
      <c r="L100" s="1">
        <f t="shared" si="13"/>
        <v>571538.60268302145</v>
      </c>
      <c r="M100" s="1">
        <f t="shared" si="14"/>
        <v>-718233.51070499688</v>
      </c>
    </row>
    <row r="101" spans="1:13" x14ac:dyDescent="0.25">
      <c r="A101">
        <f t="shared" si="15"/>
        <v>150</v>
      </c>
      <c r="B101" s="1">
        <f>A101/6.5</f>
        <v>23.076923076923077</v>
      </c>
      <c r="C101">
        <v>0.6</v>
      </c>
      <c r="D101">
        <v>1</v>
      </c>
      <c r="E101" s="1">
        <f t="shared" si="8"/>
        <v>1.2566666666666666</v>
      </c>
      <c r="F101">
        <v>1</v>
      </c>
      <c r="G101">
        <f>1</f>
        <v>1</v>
      </c>
      <c r="H101" s="1">
        <f t="shared" si="9"/>
        <v>8.9128826929126159</v>
      </c>
      <c r="I101" s="1">
        <f t="shared" si="10"/>
        <v>0</v>
      </c>
      <c r="J101" s="1">
        <f t="shared" si="11"/>
        <v>0</v>
      </c>
      <c r="K101" s="1">
        <f t="shared" si="12"/>
        <v>8.9128826929126159</v>
      </c>
      <c r="L101" s="1">
        <f t="shared" si="13"/>
        <v>527574.09478432743</v>
      </c>
      <c r="M101" s="1">
        <f t="shared" si="14"/>
        <v>-662984.77911230491</v>
      </c>
    </row>
    <row r="102" spans="1:13" x14ac:dyDescent="0.25">
      <c r="A102">
        <f t="shared" si="15"/>
        <v>150</v>
      </c>
      <c r="B102" s="1">
        <f>A102/7</f>
        <v>21.428571428571427</v>
      </c>
      <c r="C102">
        <v>0.6</v>
      </c>
      <c r="D102">
        <v>1</v>
      </c>
      <c r="E102" s="1">
        <f t="shared" si="8"/>
        <v>1.2566666666666666</v>
      </c>
      <c r="F102">
        <v>1</v>
      </c>
      <c r="G102">
        <f>1</f>
        <v>1</v>
      </c>
      <c r="H102" s="1">
        <f t="shared" si="9"/>
        <v>8.9128826929126159</v>
      </c>
      <c r="I102" s="1">
        <f t="shared" si="10"/>
        <v>0</v>
      </c>
      <c r="J102" s="1">
        <f t="shared" si="11"/>
        <v>0</v>
      </c>
      <c r="K102" s="1">
        <f t="shared" si="12"/>
        <v>8.9128826929126159</v>
      </c>
      <c r="L102" s="1">
        <f t="shared" si="13"/>
        <v>489890.23087116121</v>
      </c>
      <c r="M102" s="1">
        <f t="shared" si="14"/>
        <v>-615628.72346142586</v>
      </c>
    </row>
    <row r="103" spans="1:13" x14ac:dyDescent="0.25">
      <c r="A103">
        <f t="shared" si="15"/>
        <v>150</v>
      </c>
      <c r="B103" s="1">
        <f>A103/7.5</f>
        <v>20</v>
      </c>
      <c r="C103">
        <v>0.6</v>
      </c>
      <c r="D103">
        <v>1</v>
      </c>
      <c r="E103" s="1">
        <f t="shared" si="8"/>
        <v>1.2566666666666666</v>
      </c>
      <c r="F103">
        <v>1</v>
      </c>
      <c r="G103">
        <f>1</f>
        <v>1</v>
      </c>
      <c r="H103" s="1">
        <f t="shared" si="9"/>
        <v>8.9128826929126159</v>
      </c>
      <c r="I103" s="1">
        <f t="shared" si="10"/>
        <v>0</v>
      </c>
      <c r="J103" s="1">
        <f t="shared" si="11"/>
        <v>0</v>
      </c>
      <c r="K103" s="1">
        <f t="shared" si="12"/>
        <v>8.9128826929126159</v>
      </c>
      <c r="L103" s="1">
        <f t="shared" si="13"/>
        <v>457230.88214641716</v>
      </c>
      <c r="M103" s="1">
        <f t="shared" si="14"/>
        <v>-574586.8085639975</v>
      </c>
    </row>
    <row r="104" spans="1:13" x14ac:dyDescent="0.25">
      <c r="A104">
        <f t="shared" si="15"/>
        <v>150</v>
      </c>
      <c r="B104" s="1">
        <f>A104/5</f>
        <v>30</v>
      </c>
      <c r="C104">
        <v>0.7</v>
      </c>
      <c r="D104">
        <v>1</v>
      </c>
      <c r="E104" s="1">
        <f t="shared" si="8"/>
        <v>1.1599999999999999</v>
      </c>
      <c r="F104">
        <v>1</v>
      </c>
      <c r="G104">
        <f>1</f>
        <v>1</v>
      </c>
      <c r="H104" s="1">
        <f t="shared" si="9"/>
        <v>8.9128826929126159</v>
      </c>
      <c r="I104" s="1">
        <f t="shared" si="10"/>
        <v>0</v>
      </c>
      <c r="J104" s="1">
        <f t="shared" si="11"/>
        <v>0</v>
      </c>
      <c r="K104" s="1">
        <f t="shared" si="12"/>
        <v>8.9128826929126159</v>
      </c>
      <c r="L104" s="1">
        <f t="shared" si="13"/>
        <v>800154.04375623004</v>
      </c>
      <c r="M104" s="1">
        <f t="shared" si="14"/>
        <v>-928178.69075722701</v>
      </c>
    </row>
    <row r="105" spans="1:13" x14ac:dyDescent="0.25">
      <c r="A105">
        <f t="shared" si="15"/>
        <v>150</v>
      </c>
      <c r="B105" s="1">
        <f>A105/5.5</f>
        <v>27.272727272727273</v>
      </c>
      <c r="C105">
        <v>0.7</v>
      </c>
      <c r="D105">
        <v>1</v>
      </c>
      <c r="E105" s="1">
        <f t="shared" si="8"/>
        <v>1.1599999999999999</v>
      </c>
      <c r="F105">
        <v>1</v>
      </c>
      <c r="G105">
        <f>1</f>
        <v>1</v>
      </c>
      <c r="H105" s="1">
        <f t="shared" si="9"/>
        <v>8.9128826929126159</v>
      </c>
      <c r="I105" s="1">
        <f t="shared" si="10"/>
        <v>0</v>
      </c>
      <c r="J105" s="1">
        <f t="shared" si="11"/>
        <v>0</v>
      </c>
      <c r="K105" s="1">
        <f t="shared" si="12"/>
        <v>8.9128826929126159</v>
      </c>
      <c r="L105" s="1">
        <f t="shared" si="13"/>
        <v>727412.76705111819</v>
      </c>
      <c r="M105" s="1">
        <f t="shared" si="14"/>
        <v>-843798.80977929733</v>
      </c>
    </row>
    <row r="106" spans="1:13" x14ac:dyDescent="0.25">
      <c r="A106">
        <f t="shared" si="15"/>
        <v>150</v>
      </c>
      <c r="B106" s="1">
        <f>A106/6</f>
        <v>25</v>
      </c>
      <c r="C106">
        <v>0.7</v>
      </c>
      <c r="D106">
        <v>1</v>
      </c>
      <c r="E106" s="1">
        <f t="shared" si="8"/>
        <v>1.1599999999999999</v>
      </c>
      <c r="F106">
        <v>1</v>
      </c>
      <c r="G106">
        <f>1</f>
        <v>1</v>
      </c>
      <c r="H106" s="1">
        <f t="shared" si="9"/>
        <v>8.9128826929126159</v>
      </c>
      <c r="I106" s="1">
        <f t="shared" si="10"/>
        <v>0</v>
      </c>
      <c r="J106" s="1">
        <f t="shared" si="11"/>
        <v>0</v>
      </c>
      <c r="K106" s="1">
        <f t="shared" si="12"/>
        <v>8.9128826929126159</v>
      </c>
      <c r="L106" s="1">
        <f t="shared" si="13"/>
        <v>666795.03646352503</v>
      </c>
      <c r="M106" s="1">
        <f t="shared" si="14"/>
        <v>-773482.2422976892</v>
      </c>
    </row>
    <row r="107" spans="1:13" x14ac:dyDescent="0.25">
      <c r="A107">
        <f t="shared" si="15"/>
        <v>150</v>
      </c>
      <c r="B107" s="1">
        <f>A107/6.5</f>
        <v>23.076923076923077</v>
      </c>
      <c r="C107">
        <v>0.7</v>
      </c>
      <c r="D107">
        <v>1</v>
      </c>
      <c r="E107" s="1">
        <f t="shared" si="8"/>
        <v>1.1599999999999999</v>
      </c>
      <c r="F107">
        <v>1</v>
      </c>
      <c r="G107">
        <f>1</f>
        <v>1</v>
      </c>
      <c r="H107" s="1">
        <f t="shared" si="9"/>
        <v>8.9128826929126159</v>
      </c>
      <c r="I107" s="1">
        <f t="shared" si="10"/>
        <v>0</v>
      </c>
      <c r="J107" s="1">
        <f t="shared" si="11"/>
        <v>0</v>
      </c>
      <c r="K107" s="1">
        <f t="shared" si="12"/>
        <v>8.9128826929126159</v>
      </c>
      <c r="L107" s="1">
        <f t="shared" si="13"/>
        <v>615503.11058171536</v>
      </c>
      <c r="M107" s="1">
        <f t="shared" si="14"/>
        <v>-713983.60827478999</v>
      </c>
    </row>
    <row r="108" spans="1:13" x14ac:dyDescent="0.25">
      <c r="A108">
        <f t="shared" si="15"/>
        <v>150</v>
      </c>
      <c r="B108" s="1">
        <f>A108/7</f>
        <v>21.428571428571427</v>
      </c>
      <c r="C108">
        <v>0.7</v>
      </c>
      <c r="D108">
        <v>1</v>
      </c>
      <c r="E108" s="1">
        <f t="shared" si="8"/>
        <v>1.1599999999999999</v>
      </c>
      <c r="F108">
        <v>1</v>
      </c>
      <c r="G108">
        <f>1</f>
        <v>1</v>
      </c>
      <c r="H108" s="1">
        <f t="shared" si="9"/>
        <v>8.9128826929126159</v>
      </c>
      <c r="I108" s="1">
        <f t="shared" si="10"/>
        <v>0</v>
      </c>
      <c r="J108" s="1">
        <f t="shared" si="11"/>
        <v>0</v>
      </c>
      <c r="K108" s="1">
        <f t="shared" si="12"/>
        <v>8.9128826929126159</v>
      </c>
      <c r="L108" s="1">
        <f t="shared" si="13"/>
        <v>571538.60268302145</v>
      </c>
      <c r="M108" s="1">
        <f t="shared" si="14"/>
        <v>-662984.77911230491</v>
      </c>
    </row>
    <row r="109" spans="1:13" x14ac:dyDescent="0.25">
      <c r="A109">
        <f t="shared" si="15"/>
        <v>150</v>
      </c>
      <c r="B109" s="1">
        <f>A109/7.5</f>
        <v>20</v>
      </c>
      <c r="C109">
        <v>0.7</v>
      </c>
      <c r="D109">
        <v>1</v>
      </c>
      <c r="E109" s="1">
        <f t="shared" si="8"/>
        <v>1.1599999999999999</v>
      </c>
      <c r="F109">
        <v>1</v>
      </c>
      <c r="G109">
        <f>1</f>
        <v>1</v>
      </c>
      <c r="H109" s="1">
        <f t="shared" si="9"/>
        <v>8.9128826929126159</v>
      </c>
      <c r="I109" s="1">
        <f t="shared" si="10"/>
        <v>0</v>
      </c>
      <c r="J109" s="1">
        <f t="shared" si="11"/>
        <v>0</v>
      </c>
      <c r="K109" s="1">
        <f t="shared" si="12"/>
        <v>8.9128826929126159</v>
      </c>
      <c r="L109" s="1">
        <f t="shared" si="13"/>
        <v>533436.02917082002</v>
      </c>
      <c r="M109" s="1">
        <f t="shared" si="14"/>
        <v>-618785.79383815126</v>
      </c>
    </row>
    <row r="110" spans="1:13" x14ac:dyDescent="0.25">
      <c r="A110">
        <f t="shared" si="15"/>
        <v>150</v>
      </c>
      <c r="B110" s="1">
        <f>A110/5</f>
        <v>30</v>
      </c>
      <c r="C110">
        <v>0.8</v>
      </c>
      <c r="D110">
        <v>1</v>
      </c>
      <c r="E110" s="1">
        <f t="shared" si="8"/>
        <v>1.0874999999999997</v>
      </c>
      <c r="F110">
        <v>1</v>
      </c>
      <c r="G110">
        <f>1</f>
        <v>1</v>
      </c>
      <c r="H110" s="1">
        <f t="shared" si="9"/>
        <v>8.9128826929126159</v>
      </c>
      <c r="I110" s="1">
        <f t="shared" si="10"/>
        <v>0</v>
      </c>
      <c r="J110" s="1">
        <f t="shared" si="11"/>
        <v>0</v>
      </c>
      <c r="K110" s="1">
        <f t="shared" si="12"/>
        <v>8.9128826929126159</v>
      </c>
      <c r="L110" s="1">
        <f t="shared" si="13"/>
        <v>914461.76429283433</v>
      </c>
      <c r="M110" s="1">
        <f t="shared" si="14"/>
        <v>-994477.16866845696</v>
      </c>
    </row>
    <row r="111" spans="1:13" x14ac:dyDescent="0.25">
      <c r="A111">
        <f t="shared" si="15"/>
        <v>150</v>
      </c>
      <c r="B111" s="1">
        <f>A111/5.5</f>
        <v>27.272727272727273</v>
      </c>
      <c r="C111">
        <v>0.8</v>
      </c>
      <c r="D111">
        <v>1</v>
      </c>
      <c r="E111" s="1">
        <f t="shared" si="8"/>
        <v>1.0874999999999997</v>
      </c>
      <c r="F111">
        <v>1</v>
      </c>
      <c r="G111">
        <f>1</f>
        <v>1</v>
      </c>
      <c r="H111" s="1">
        <f t="shared" si="9"/>
        <v>8.9128826929126159</v>
      </c>
      <c r="I111" s="1">
        <f t="shared" si="10"/>
        <v>0</v>
      </c>
      <c r="J111" s="1">
        <f t="shared" si="11"/>
        <v>0</v>
      </c>
      <c r="K111" s="1">
        <f t="shared" si="12"/>
        <v>8.9128826929126159</v>
      </c>
      <c r="L111" s="1">
        <f t="shared" si="13"/>
        <v>831328.87662984943</v>
      </c>
      <c r="M111" s="1">
        <f t="shared" si="14"/>
        <v>-904070.15333496092</v>
      </c>
    </row>
    <row r="112" spans="1:13" x14ac:dyDescent="0.25">
      <c r="A112">
        <f t="shared" si="15"/>
        <v>150</v>
      </c>
      <c r="B112" s="1">
        <f>A112/6</f>
        <v>25</v>
      </c>
      <c r="C112">
        <v>0.8</v>
      </c>
      <c r="D112">
        <v>1</v>
      </c>
      <c r="E112" s="1">
        <f t="shared" si="8"/>
        <v>1.0874999999999997</v>
      </c>
      <c r="F112">
        <v>1</v>
      </c>
      <c r="G112">
        <f>1</f>
        <v>1</v>
      </c>
      <c r="H112" s="1">
        <f t="shared" si="9"/>
        <v>8.9128826929126159</v>
      </c>
      <c r="I112" s="1">
        <f t="shared" si="10"/>
        <v>0</v>
      </c>
      <c r="J112" s="1">
        <f t="shared" si="11"/>
        <v>0</v>
      </c>
      <c r="K112" s="1">
        <f t="shared" si="12"/>
        <v>8.9128826929126159</v>
      </c>
      <c r="L112" s="1">
        <f t="shared" si="13"/>
        <v>762051.47024402861</v>
      </c>
      <c r="M112" s="1">
        <f t="shared" si="14"/>
        <v>-828730.97389038093</v>
      </c>
    </row>
    <row r="113" spans="1:13" x14ac:dyDescent="0.25">
      <c r="A113">
        <f t="shared" si="15"/>
        <v>150</v>
      </c>
      <c r="B113" s="1">
        <f>A113/6.5</f>
        <v>23.076923076923077</v>
      </c>
      <c r="C113">
        <v>0.8</v>
      </c>
      <c r="D113">
        <v>1</v>
      </c>
      <c r="E113" s="1">
        <f t="shared" si="8"/>
        <v>1.0874999999999997</v>
      </c>
      <c r="F113">
        <v>1</v>
      </c>
      <c r="G113">
        <f>1</f>
        <v>1</v>
      </c>
      <c r="H113" s="1">
        <f t="shared" si="9"/>
        <v>8.9128826929126159</v>
      </c>
      <c r="I113" s="1">
        <f t="shared" si="10"/>
        <v>0</v>
      </c>
      <c r="J113" s="1">
        <f t="shared" si="11"/>
        <v>0</v>
      </c>
      <c r="K113" s="1">
        <f t="shared" si="12"/>
        <v>8.9128826929126159</v>
      </c>
      <c r="L113" s="1">
        <f t="shared" si="13"/>
        <v>703432.1263791034</v>
      </c>
      <c r="M113" s="1">
        <f t="shared" si="14"/>
        <v>-764982.43743727461</v>
      </c>
    </row>
    <row r="114" spans="1:13" x14ac:dyDescent="0.25">
      <c r="A114">
        <f t="shared" si="15"/>
        <v>150</v>
      </c>
      <c r="B114" s="1">
        <f>A114/7</f>
        <v>21.428571428571427</v>
      </c>
      <c r="C114">
        <v>0.8</v>
      </c>
      <c r="D114">
        <v>1</v>
      </c>
      <c r="E114" s="1">
        <f t="shared" si="8"/>
        <v>1.0874999999999997</v>
      </c>
      <c r="F114">
        <v>1</v>
      </c>
      <c r="G114">
        <f>1</f>
        <v>1</v>
      </c>
      <c r="H114" s="1">
        <f t="shared" si="9"/>
        <v>8.9128826929126159</v>
      </c>
      <c r="I114" s="1">
        <f t="shared" si="10"/>
        <v>0</v>
      </c>
      <c r="J114" s="1">
        <f t="shared" si="11"/>
        <v>0</v>
      </c>
      <c r="K114" s="1">
        <f t="shared" si="12"/>
        <v>8.9128826929126159</v>
      </c>
      <c r="L114" s="1">
        <f t="shared" si="13"/>
        <v>653186.9744948817</v>
      </c>
      <c r="M114" s="1">
        <f t="shared" si="14"/>
        <v>-710340.83476318361</v>
      </c>
    </row>
    <row r="115" spans="1:13" x14ac:dyDescent="0.25">
      <c r="A115">
        <f t="shared" si="15"/>
        <v>150</v>
      </c>
      <c r="B115" s="1">
        <f>A115/7.5</f>
        <v>20</v>
      </c>
      <c r="C115">
        <v>0.8</v>
      </c>
      <c r="D115">
        <v>1</v>
      </c>
      <c r="E115" s="1">
        <f t="shared" si="8"/>
        <v>1.0874999999999997</v>
      </c>
      <c r="F115">
        <v>1</v>
      </c>
      <c r="G115">
        <f>1</f>
        <v>1</v>
      </c>
      <c r="H115" s="1">
        <f t="shared" si="9"/>
        <v>8.9128826929126159</v>
      </c>
      <c r="I115" s="1">
        <f t="shared" si="10"/>
        <v>0</v>
      </c>
      <c r="J115" s="1">
        <f t="shared" si="11"/>
        <v>0</v>
      </c>
      <c r="K115" s="1">
        <f t="shared" si="12"/>
        <v>8.9128826929126159</v>
      </c>
      <c r="L115" s="1">
        <f t="shared" si="13"/>
        <v>609641.17619522288</v>
      </c>
      <c r="M115" s="1">
        <f t="shared" si="14"/>
        <v>-662984.77911230468</v>
      </c>
    </row>
    <row r="116" spans="1:13" x14ac:dyDescent="0.25">
      <c r="A116">
        <f t="shared" si="15"/>
        <v>150</v>
      </c>
      <c r="B116" s="1">
        <f>A116/5</f>
        <v>30</v>
      </c>
      <c r="C116">
        <v>0.9</v>
      </c>
      <c r="D116">
        <v>1</v>
      </c>
      <c r="E116" s="1">
        <f t="shared" si="8"/>
        <v>1.0311111111111111</v>
      </c>
      <c r="F116">
        <v>1</v>
      </c>
      <c r="G116">
        <f>1</f>
        <v>1</v>
      </c>
      <c r="H116" s="1">
        <f t="shared" si="9"/>
        <v>8.9128826929126159</v>
      </c>
      <c r="I116" s="1">
        <f t="shared" si="10"/>
        <v>0</v>
      </c>
      <c r="J116" s="1">
        <f t="shared" si="11"/>
        <v>0</v>
      </c>
      <c r="K116" s="1">
        <f t="shared" si="12"/>
        <v>8.9128826929126159</v>
      </c>
      <c r="L116" s="1">
        <f t="shared" si="13"/>
        <v>1028769.4848294386</v>
      </c>
      <c r="M116" s="1">
        <f t="shared" si="14"/>
        <v>-1060775.6465796882</v>
      </c>
    </row>
    <row r="117" spans="1:13" x14ac:dyDescent="0.25">
      <c r="A117">
        <f t="shared" si="15"/>
        <v>150</v>
      </c>
      <c r="B117" s="1">
        <f>A117/5.5</f>
        <v>27.272727272727273</v>
      </c>
      <c r="C117">
        <v>0.9</v>
      </c>
      <c r="D117">
        <v>1</v>
      </c>
      <c r="E117" s="1">
        <f t="shared" si="8"/>
        <v>1.0311111111111111</v>
      </c>
      <c r="F117">
        <v>1</v>
      </c>
      <c r="G117">
        <f>1</f>
        <v>1</v>
      </c>
      <c r="H117" s="1">
        <f t="shared" si="9"/>
        <v>8.9128826929126159</v>
      </c>
      <c r="I117" s="1">
        <f t="shared" si="10"/>
        <v>0</v>
      </c>
      <c r="J117" s="1">
        <f t="shared" si="11"/>
        <v>0</v>
      </c>
      <c r="K117" s="1">
        <f t="shared" si="12"/>
        <v>8.9128826929126159</v>
      </c>
      <c r="L117" s="1">
        <f t="shared" si="13"/>
        <v>935244.98620858067</v>
      </c>
      <c r="M117" s="1">
        <f t="shared" si="14"/>
        <v>-964341.49689062545</v>
      </c>
    </row>
    <row r="118" spans="1:13" x14ac:dyDescent="0.25">
      <c r="A118">
        <f t="shared" si="15"/>
        <v>150</v>
      </c>
      <c r="B118" s="1">
        <f>A118/6</f>
        <v>25</v>
      </c>
      <c r="C118">
        <v>0.9</v>
      </c>
      <c r="D118">
        <v>1</v>
      </c>
      <c r="E118" s="1">
        <f t="shared" si="8"/>
        <v>1.0311111111111111</v>
      </c>
      <c r="F118">
        <v>1</v>
      </c>
      <c r="G118">
        <f>1</f>
        <v>1</v>
      </c>
      <c r="H118" s="1">
        <f t="shared" si="9"/>
        <v>8.9128826929126159</v>
      </c>
      <c r="I118" s="1">
        <f t="shared" si="10"/>
        <v>0</v>
      </c>
      <c r="J118" s="1">
        <f t="shared" si="11"/>
        <v>0</v>
      </c>
      <c r="K118" s="1">
        <f t="shared" si="12"/>
        <v>8.9128826929126159</v>
      </c>
      <c r="L118" s="1">
        <f t="shared" si="13"/>
        <v>857307.90402453218</v>
      </c>
      <c r="M118" s="1">
        <f t="shared" si="14"/>
        <v>-883979.70548307325</v>
      </c>
    </row>
    <row r="119" spans="1:13" x14ac:dyDescent="0.25">
      <c r="A119">
        <f t="shared" si="15"/>
        <v>150</v>
      </c>
      <c r="B119" s="1">
        <f>A119/6.5</f>
        <v>23.076923076923077</v>
      </c>
      <c r="C119">
        <v>0.9</v>
      </c>
      <c r="D119">
        <v>1</v>
      </c>
      <c r="E119" s="1">
        <f t="shared" si="8"/>
        <v>1.0311111111111111</v>
      </c>
      <c r="F119">
        <v>1</v>
      </c>
      <c r="G119">
        <f>1</f>
        <v>1</v>
      </c>
      <c r="H119" s="1">
        <f t="shared" si="9"/>
        <v>8.9128826929126159</v>
      </c>
      <c r="I119" s="1">
        <f t="shared" si="10"/>
        <v>0</v>
      </c>
      <c r="J119" s="1">
        <f t="shared" si="11"/>
        <v>0</v>
      </c>
      <c r="K119" s="1">
        <f t="shared" si="12"/>
        <v>8.9128826929126159</v>
      </c>
      <c r="L119" s="1">
        <f t="shared" si="13"/>
        <v>791361.14217649121</v>
      </c>
      <c r="M119" s="1">
        <f t="shared" si="14"/>
        <v>-815981.26659975993</v>
      </c>
    </row>
    <row r="120" spans="1:13" x14ac:dyDescent="0.25">
      <c r="A120">
        <f t="shared" si="15"/>
        <v>150</v>
      </c>
      <c r="B120" s="1">
        <f>A120/7</f>
        <v>21.428571428571427</v>
      </c>
      <c r="C120">
        <v>0.9</v>
      </c>
      <c r="D120">
        <v>1</v>
      </c>
      <c r="E120" s="1">
        <f t="shared" si="8"/>
        <v>1.0311111111111111</v>
      </c>
      <c r="F120">
        <v>1</v>
      </c>
      <c r="G120">
        <f>1</f>
        <v>1</v>
      </c>
      <c r="H120" s="1">
        <f t="shared" si="9"/>
        <v>8.9128826929126159</v>
      </c>
      <c r="I120" s="1">
        <f t="shared" si="10"/>
        <v>0</v>
      </c>
      <c r="J120" s="1">
        <f t="shared" si="11"/>
        <v>0</v>
      </c>
      <c r="K120" s="1">
        <f t="shared" si="12"/>
        <v>8.9128826929126159</v>
      </c>
      <c r="L120" s="1">
        <f t="shared" si="13"/>
        <v>734835.34630674182</v>
      </c>
      <c r="M120" s="1">
        <f t="shared" si="14"/>
        <v>-757696.89041406277</v>
      </c>
    </row>
    <row r="121" spans="1:13" x14ac:dyDescent="0.25">
      <c r="A121">
        <f t="shared" si="15"/>
        <v>150</v>
      </c>
      <c r="B121" s="1">
        <f>A121/7.5</f>
        <v>20</v>
      </c>
      <c r="C121">
        <v>0.9</v>
      </c>
      <c r="D121">
        <v>1</v>
      </c>
      <c r="E121" s="1">
        <f t="shared" si="8"/>
        <v>1.0311111111111111</v>
      </c>
      <c r="F121">
        <v>1</v>
      </c>
      <c r="G121">
        <f>1</f>
        <v>1</v>
      </c>
      <c r="H121" s="1">
        <f t="shared" si="9"/>
        <v>8.9128826929126159</v>
      </c>
      <c r="I121" s="1">
        <f t="shared" si="10"/>
        <v>0</v>
      </c>
      <c r="J121" s="1">
        <f t="shared" si="11"/>
        <v>0</v>
      </c>
      <c r="K121" s="1">
        <f t="shared" si="12"/>
        <v>8.9128826929126159</v>
      </c>
      <c r="L121" s="1">
        <f t="shared" si="13"/>
        <v>685846.32321962574</v>
      </c>
      <c r="M121" s="1">
        <f t="shared" si="14"/>
        <v>-707183.76438645867</v>
      </c>
    </row>
    <row r="122" spans="1:13" x14ac:dyDescent="0.25">
      <c r="A122">
        <f t="shared" si="15"/>
        <v>165</v>
      </c>
      <c r="B122" s="1">
        <f>A122/5</f>
        <v>33</v>
      </c>
      <c r="C122">
        <v>0.6</v>
      </c>
      <c r="D122">
        <v>1</v>
      </c>
      <c r="E122" s="1">
        <f t="shared" si="8"/>
        <v>1.2566666666666666</v>
      </c>
      <c r="F122">
        <v>1</v>
      </c>
      <c r="G122">
        <f>1</f>
        <v>1</v>
      </c>
      <c r="H122" s="1">
        <f t="shared" si="9"/>
        <v>9.181441744785996</v>
      </c>
      <c r="I122" s="1">
        <f t="shared" si="10"/>
        <v>0</v>
      </c>
      <c r="J122" s="1">
        <f t="shared" si="11"/>
        <v>0</v>
      </c>
      <c r="K122" s="1">
        <f t="shared" si="12"/>
        <v>9.181441744785996</v>
      </c>
      <c r="L122" s="1">
        <f t="shared" si="13"/>
        <v>940367.39514976682</v>
      </c>
      <c r="M122" s="1">
        <f t="shared" si="14"/>
        <v>-1181728.3599048734</v>
      </c>
    </row>
    <row r="123" spans="1:13" x14ac:dyDescent="0.25">
      <c r="A123">
        <f t="shared" si="15"/>
        <v>165</v>
      </c>
      <c r="B123" s="1">
        <f>A123/5.5</f>
        <v>30</v>
      </c>
      <c r="C123">
        <v>0.6</v>
      </c>
      <c r="D123">
        <v>1</v>
      </c>
      <c r="E123" s="1">
        <f t="shared" si="8"/>
        <v>1.2566666666666666</v>
      </c>
      <c r="F123">
        <v>1</v>
      </c>
      <c r="G123">
        <f>1</f>
        <v>1</v>
      </c>
      <c r="H123" s="1">
        <f t="shared" si="9"/>
        <v>9.181441744785996</v>
      </c>
      <c r="I123" s="1">
        <f t="shared" si="10"/>
        <v>0</v>
      </c>
      <c r="J123" s="1">
        <f t="shared" si="11"/>
        <v>0</v>
      </c>
      <c r="K123" s="1">
        <f t="shared" si="12"/>
        <v>9.181441744785996</v>
      </c>
      <c r="L123" s="1">
        <f t="shared" si="13"/>
        <v>854879.45013615163</v>
      </c>
      <c r="M123" s="1">
        <f t="shared" si="14"/>
        <v>-1074298.5090044304</v>
      </c>
    </row>
    <row r="124" spans="1:13" x14ac:dyDescent="0.25">
      <c r="A124">
        <f t="shared" si="15"/>
        <v>165</v>
      </c>
      <c r="B124" s="1">
        <f>A124/6</f>
        <v>27.5</v>
      </c>
      <c r="C124">
        <v>0.6</v>
      </c>
      <c r="D124">
        <v>1</v>
      </c>
      <c r="E124" s="1">
        <f t="shared" si="8"/>
        <v>1.2566666666666666</v>
      </c>
      <c r="F124">
        <v>1</v>
      </c>
      <c r="G124">
        <f>1</f>
        <v>1</v>
      </c>
      <c r="H124" s="1">
        <f t="shared" si="9"/>
        <v>9.181441744785996</v>
      </c>
      <c r="I124" s="1">
        <f t="shared" si="10"/>
        <v>0</v>
      </c>
      <c r="J124" s="1">
        <f t="shared" si="11"/>
        <v>0</v>
      </c>
      <c r="K124" s="1">
        <f t="shared" si="12"/>
        <v>9.181441744785996</v>
      </c>
      <c r="L124" s="1">
        <f t="shared" si="13"/>
        <v>783639.49595813896</v>
      </c>
      <c r="M124" s="1">
        <f t="shared" si="14"/>
        <v>-984773.6332540611</v>
      </c>
    </row>
    <row r="125" spans="1:13" x14ac:dyDescent="0.25">
      <c r="A125">
        <f t="shared" si="15"/>
        <v>165</v>
      </c>
      <c r="B125" s="1">
        <f>A125/6.5</f>
        <v>25.384615384615383</v>
      </c>
      <c r="C125">
        <v>0.6</v>
      </c>
      <c r="D125">
        <v>1</v>
      </c>
      <c r="E125" s="1">
        <f t="shared" si="8"/>
        <v>1.2566666666666666</v>
      </c>
      <c r="F125">
        <v>1</v>
      </c>
      <c r="G125">
        <f>1</f>
        <v>1</v>
      </c>
      <c r="H125" s="1">
        <f t="shared" si="9"/>
        <v>9.181441744785996</v>
      </c>
      <c r="I125" s="1">
        <f t="shared" si="10"/>
        <v>0</v>
      </c>
      <c r="J125" s="1">
        <f t="shared" si="11"/>
        <v>0</v>
      </c>
      <c r="K125" s="1">
        <f t="shared" si="12"/>
        <v>9.181441744785996</v>
      </c>
      <c r="L125" s="1">
        <f t="shared" si="13"/>
        <v>723359.53473058972</v>
      </c>
      <c r="M125" s="1">
        <f t="shared" si="14"/>
        <v>-909021.81531144108</v>
      </c>
    </row>
    <row r="126" spans="1:13" x14ac:dyDescent="0.25">
      <c r="A126">
        <f t="shared" si="15"/>
        <v>165</v>
      </c>
      <c r="B126" s="1">
        <f>A126/7</f>
        <v>23.571428571428573</v>
      </c>
      <c r="C126">
        <v>0.6</v>
      </c>
      <c r="D126">
        <v>1</v>
      </c>
      <c r="E126" s="1">
        <f t="shared" si="8"/>
        <v>1.2566666666666666</v>
      </c>
      <c r="F126">
        <v>1</v>
      </c>
      <c r="G126">
        <f>1</f>
        <v>1</v>
      </c>
      <c r="H126" s="1">
        <f t="shared" si="9"/>
        <v>9.181441744785996</v>
      </c>
      <c r="I126" s="1">
        <f t="shared" si="10"/>
        <v>0</v>
      </c>
      <c r="J126" s="1">
        <f t="shared" si="11"/>
        <v>0</v>
      </c>
      <c r="K126" s="1">
        <f t="shared" si="12"/>
        <v>9.181441744785996</v>
      </c>
      <c r="L126" s="1">
        <f t="shared" si="13"/>
        <v>671690.99653554778</v>
      </c>
      <c r="M126" s="1">
        <f t="shared" si="14"/>
        <v>-844091.68564633827</v>
      </c>
    </row>
    <row r="127" spans="1:13" x14ac:dyDescent="0.25">
      <c r="A127">
        <f t="shared" si="15"/>
        <v>165</v>
      </c>
      <c r="B127" s="1">
        <f>A127/7.5</f>
        <v>22</v>
      </c>
      <c r="C127">
        <v>0.6</v>
      </c>
      <c r="D127">
        <v>1</v>
      </c>
      <c r="E127" s="1">
        <f t="shared" si="8"/>
        <v>1.2566666666666666</v>
      </c>
      <c r="F127">
        <v>1</v>
      </c>
      <c r="G127">
        <f>1</f>
        <v>1</v>
      </c>
      <c r="H127" s="1">
        <f t="shared" si="9"/>
        <v>9.181441744785996</v>
      </c>
      <c r="I127" s="1">
        <f t="shared" si="10"/>
        <v>0</v>
      </c>
      <c r="J127" s="1">
        <f t="shared" si="11"/>
        <v>0</v>
      </c>
      <c r="K127" s="1">
        <f t="shared" si="12"/>
        <v>9.181441744785996</v>
      </c>
      <c r="L127" s="1">
        <f t="shared" si="13"/>
        <v>626911.59676651121</v>
      </c>
      <c r="M127" s="1">
        <f t="shared" si="14"/>
        <v>-787818.90660324891</v>
      </c>
    </row>
    <row r="128" spans="1:13" x14ac:dyDescent="0.25">
      <c r="A128">
        <f t="shared" si="15"/>
        <v>165</v>
      </c>
      <c r="B128" s="1">
        <f>A128/5</f>
        <v>33</v>
      </c>
      <c r="C128">
        <v>0.7</v>
      </c>
      <c r="D128">
        <v>1</v>
      </c>
      <c r="E128" s="1">
        <f t="shared" si="8"/>
        <v>1.1599999999999999</v>
      </c>
      <c r="F128">
        <v>1</v>
      </c>
      <c r="G128">
        <f>1</f>
        <v>1</v>
      </c>
      <c r="H128" s="1">
        <f t="shared" si="9"/>
        <v>9.181441744785996</v>
      </c>
      <c r="I128" s="1">
        <f t="shared" si="10"/>
        <v>0</v>
      </c>
      <c r="J128" s="1">
        <f t="shared" si="11"/>
        <v>0</v>
      </c>
      <c r="K128" s="1">
        <f t="shared" si="12"/>
        <v>9.181441744785996</v>
      </c>
      <c r="L128" s="1">
        <f t="shared" si="13"/>
        <v>1097095.2943413947</v>
      </c>
      <c r="M128" s="1">
        <f t="shared" si="14"/>
        <v>-1272630.5414360177</v>
      </c>
    </row>
    <row r="129" spans="1:13" x14ac:dyDescent="0.25">
      <c r="A129">
        <f t="shared" si="15"/>
        <v>165</v>
      </c>
      <c r="B129" s="1">
        <f>A129/5.5</f>
        <v>30</v>
      </c>
      <c r="C129">
        <v>0.7</v>
      </c>
      <c r="D129">
        <v>1</v>
      </c>
      <c r="E129" s="1">
        <f t="shared" si="8"/>
        <v>1.1599999999999999</v>
      </c>
      <c r="F129">
        <v>1</v>
      </c>
      <c r="G129">
        <f>1</f>
        <v>1</v>
      </c>
      <c r="H129" s="1">
        <f t="shared" si="9"/>
        <v>9.181441744785996</v>
      </c>
      <c r="I129" s="1">
        <f t="shared" si="10"/>
        <v>0</v>
      </c>
      <c r="J129" s="1">
        <f t="shared" si="11"/>
        <v>0</v>
      </c>
      <c r="K129" s="1">
        <f t="shared" si="12"/>
        <v>9.181441744785996</v>
      </c>
      <c r="L129" s="1">
        <f t="shared" si="13"/>
        <v>997359.35849217686</v>
      </c>
      <c r="M129" s="1">
        <f t="shared" si="14"/>
        <v>-1156936.8558509252</v>
      </c>
    </row>
    <row r="130" spans="1:13" x14ac:dyDescent="0.25">
      <c r="A130">
        <f t="shared" si="15"/>
        <v>165</v>
      </c>
      <c r="B130" s="1">
        <f>A130/6</f>
        <v>27.5</v>
      </c>
      <c r="C130">
        <v>0.7</v>
      </c>
      <c r="D130">
        <v>1</v>
      </c>
      <c r="E130" s="1">
        <f t="shared" si="8"/>
        <v>1.1599999999999999</v>
      </c>
      <c r="F130">
        <v>1</v>
      </c>
      <c r="G130">
        <f>1</f>
        <v>1</v>
      </c>
      <c r="H130" s="1">
        <f t="shared" si="9"/>
        <v>9.181441744785996</v>
      </c>
      <c r="I130" s="1">
        <f t="shared" si="10"/>
        <v>0</v>
      </c>
      <c r="J130" s="1">
        <f t="shared" si="11"/>
        <v>0</v>
      </c>
      <c r="K130" s="1">
        <f t="shared" si="12"/>
        <v>9.181441744785996</v>
      </c>
      <c r="L130" s="1">
        <f t="shared" si="13"/>
        <v>914246.07861782878</v>
      </c>
      <c r="M130" s="1">
        <f t="shared" si="14"/>
        <v>-1060525.4511966815</v>
      </c>
    </row>
    <row r="131" spans="1:13" x14ac:dyDescent="0.25">
      <c r="A131">
        <f t="shared" si="15"/>
        <v>165</v>
      </c>
      <c r="B131" s="1">
        <f>A131/6.5</f>
        <v>25.384615384615383</v>
      </c>
      <c r="C131">
        <v>0.7</v>
      </c>
      <c r="D131">
        <v>1</v>
      </c>
      <c r="E131" s="1">
        <f t="shared" ref="E131:E194" si="16">0.58*(C131+0.7)/C131</f>
        <v>1.1599999999999999</v>
      </c>
      <c r="F131">
        <v>1</v>
      </c>
      <c r="G131">
        <f>1</f>
        <v>1</v>
      </c>
      <c r="H131" s="1">
        <f t="shared" ref="H131:H194" si="17">IF(AND(A131&gt;=90,A131&lt;300),10.75-POWER((300-A131)/100,1.5),0)</f>
        <v>9.181441744785996</v>
      </c>
      <c r="I131" s="1">
        <f t="shared" ref="I131:I194" si="18">IF(AND(A131&gt;=300,A131&lt;350),10.75,0)</f>
        <v>0</v>
      </c>
      <c r="J131" s="1">
        <f t="shared" ref="J131:J194" si="19">IF(A131&gt;=350,10.75-POWER((A131-350)/150,1.5),0)</f>
        <v>0</v>
      </c>
      <c r="K131" s="1">
        <f t="shared" ref="K131:K194" si="20">SUM(H131:J131)</f>
        <v>9.181441744785996</v>
      </c>
      <c r="L131" s="1">
        <f t="shared" ref="L131:L194" si="21">0.19*D131*F131*G131*K131*A131*A131*B131*C131</f>
        <v>843919.45718568796</v>
      </c>
      <c r="M131" s="1">
        <f t="shared" ref="M131:M194" si="22">-0.19*E131*F131*G131*K131*A131*A131*B131*C131</f>
        <v>-978946.5703353982</v>
      </c>
    </row>
    <row r="132" spans="1:13" x14ac:dyDescent="0.25">
      <c r="A132">
        <f t="shared" si="15"/>
        <v>165</v>
      </c>
      <c r="B132" s="1">
        <f>A132/7</f>
        <v>23.571428571428573</v>
      </c>
      <c r="C132">
        <v>0.7</v>
      </c>
      <c r="D132">
        <v>1</v>
      </c>
      <c r="E132" s="1">
        <f t="shared" si="16"/>
        <v>1.1599999999999999</v>
      </c>
      <c r="F132">
        <v>1</v>
      </c>
      <c r="G132">
        <f>1</f>
        <v>1</v>
      </c>
      <c r="H132" s="1">
        <f t="shared" si="17"/>
        <v>9.181441744785996</v>
      </c>
      <c r="I132" s="1">
        <f t="shared" si="18"/>
        <v>0</v>
      </c>
      <c r="J132" s="1">
        <f t="shared" si="19"/>
        <v>0</v>
      </c>
      <c r="K132" s="1">
        <f t="shared" si="20"/>
        <v>9.181441744785996</v>
      </c>
      <c r="L132" s="1">
        <f t="shared" si="21"/>
        <v>783639.49595813907</v>
      </c>
      <c r="M132" s="1">
        <f t="shared" si="22"/>
        <v>-909021.8153114412</v>
      </c>
    </row>
    <row r="133" spans="1:13" x14ac:dyDescent="0.25">
      <c r="A133">
        <f t="shared" si="15"/>
        <v>165</v>
      </c>
      <c r="B133" s="1">
        <f>A133/7.5</f>
        <v>22</v>
      </c>
      <c r="C133">
        <v>0.7</v>
      </c>
      <c r="D133">
        <v>1</v>
      </c>
      <c r="E133" s="1">
        <f t="shared" si="16"/>
        <v>1.1599999999999999</v>
      </c>
      <c r="F133">
        <v>1</v>
      </c>
      <c r="G133">
        <f>1</f>
        <v>1</v>
      </c>
      <c r="H133" s="1">
        <f t="shared" si="17"/>
        <v>9.181441744785996</v>
      </c>
      <c r="I133" s="1">
        <f t="shared" si="18"/>
        <v>0</v>
      </c>
      <c r="J133" s="1">
        <f t="shared" si="19"/>
        <v>0</v>
      </c>
      <c r="K133" s="1">
        <f t="shared" si="20"/>
        <v>9.181441744785996</v>
      </c>
      <c r="L133" s="1">
        <f t="shared" si="21"/>
        <v>731396.86289426312</v>
      </c>
      <c r="M133" s="1">
        <f t="shared" si="22"/>
        <v>-848420.36095734523</v>
      </c>
    </row>
    <row r="134" spans="1:13" x14ac:dyDescent="0.25">
      <c r="A134">
        <f t="shared" si="15"/>
        <v>165</v>
      </c>
      <c r="B134" s="1">
        <f>A134/5</f>
        <v>33</v>
      </c>
      <c r="C134">
        <v>0.8</v>
      </c>
      <c r="D134">
        <v>1</v>
      </c>
      <c r="E134" s="1">
        <f t="shared" si="16"/>
        <v>1.0874999999999997</v>
      </c>
      <c r="F134">
        <v>1</v>
      </c>
      <c r="G134">
        <f>1</f>
        <v>1</v>
      </c>
      <c r="H134" s="1">
        <f t="shared" si="17"/>
        <v>9.181441744785996</v>
      </c>
      <c r="I134" s="1">
        <f t="shared" si="18"/>
        <v>0</v>
      </c>
      <c r="J134" s="1">
        <f t="shared" si="19"/>
        <v>0</v>
      </c>
      <c r="K134" s="1">
        <f t="shared" si="20"/>
        <v>9.181441744785996</v>
      </c>
      <c r="L134" s="1">
        <f t="shared" si="21"/>
        <v>1253823.1935330227</v>
      </c>
      <c r="M134" s="1">
        <f t="shared" si="22"/>
        <v>-1363532.7229671618</v>
      </c>
    </row>
    <row r="135" spans="1:13" x14ac:dyDescent="0.25">
      <c r="A135">
        <f t="shared" si="15"/>
        <v>165</v>
      </c>
      <c r="B135" s="1">
        <f>A135/5.5</f>
        <v>30</v>
      </c>
      <c r="C135">
        <v>0.8</v>
      </c>
      <c r="D135">
        <v>1</v>
      </c>
      <c r="E135" s="1">
        <f t="shared" si="16"/>
        <v>1.0874999999999997</v>
      </c>
      <c r="F135">
        <v>1</v>
      </c>
      <c r="G135">
        <f>1</f>
        <v>1</v>
      </c>
      <c r="H135" s="1">
        <f t="shared" si="17"/>
        <v>9.181441744785996</v>
      </c>
      <c r="I135" s="1">
        <f t="shared" si="18"/>
        <v>0</v>
      </c>
      <c r="J135" s="1">
        <f t="shared" si="19"/>
        <v>0</v>
      </c>
      <c r="K135" s="1">
        <f t="shared" si="20"/>
        <v>9.181441744785996</v>
      </c>
      <c r="L135" s="1">
        <f t="shared" si="21"/>
        <v>1139839.2668482023</v>
      </c>
      <c r="M135" s="1">
        <f t="shared" si="22"/>
        <v>-1239575.2026974198</v>
      </c>
    </row>
    <row r="136" spans="1:13" x14ac:dyDescent="0.25">
      <c r="A136">
        <f t="shared" si="15"/>
        <v>165</v>
      </c>
      <c r="B136" s="1">
        <f>A136/6</f>
        <v>27.5</v>
      </c>
      <c r="C136">
        <v>0.8</v>
      </c>
      <c r="D136">
        <v>1</v>
      </c>
      <c r="E136" s="1">
        <f t="shared" si="16"/>
        <v>1.0874999999999997</v>
      </c>
      <c r="F136">
        <v>1</v>
      </c>
      <c r="G136">
        <f>1</f>
        <v>1</v>
      </c>
      <c r="H136" s="1">
        <f t="shared" si="17"/>
        <v>9.181441744785996</v>
      </c>
      <c r="I136" s="1">
        <f t="shared" si="18"/>
        <v>0</v>
      </c>
      <c r="J136" s="1">
        <f t="shared" si="19"/>
        <v>0</v>
      </c>
      <c r="K136" s="1">
        <f t="shared" si="20"/>
        <v>9.181441744785996</v>
      </c>
      <c r="L136" s="1">
        <f t="shared" si="21"/>
        <v>1044852.6612775186</v>
      </c>
      <c r="M136" s="1">
        <f t="shared" si="22"/>
        <v>-1136277.2691393015</v>
      </c>
    </row>
    <row r="137" spans="1:13" x14ac:dyDescent="0.25">
      <c r="A137">
        <f t="shared" si="15"/>
        <v>165</v>
      </c>
      <c r="B137" s="1">
        <f>A137/6.5</f>
        <v>25.384615384615383</v>
      </c>
      <c r="C137">
        <v>0.8</v>
      </c>
      <c r="D137">
        <v>1</v>
      </c>
      <c r="E137" s="1">
        <f t="shared" si="16"/>
        <v>1.0874999999999997</v>
      </c>
      <c r="F137">
        <v>1</v>
      </c>
      <c r="G137">
        <f>1</f>
        <v>1</v>
      </c>
      <c r="H137" s="1">
        <f t="shared" si="17"/>
        <v>9.181441744785996</v>
      </c>
      <c r="I137" s="1">
        <f t="shared" si="18"/>
        <v>0</v>
      </c>
      <c r="J137" s="1">
        <f t="shared" si="19"/>
        <v>0</v>
      </c>
      <c r="K137" s="1">
        <f t="shared" si="20"/>
        <v>9.181441744785996</v>
      </c>
      <c r="L137" s="1">
        <f t="shared" si="21"/>
        <v>964479.37964078644</v>
      </c>
      <c r="M137" s="1">
        <f t="shared" si="22"/>
        <v>-1048871.3253593552</v>
      </c>
    </row>
    <row r="138" spans="1:13" x14ac:dyDescent="0.25">
      <c r="A138">
        <f t="shared" si="15"/>
        <v>165</v>
      </c>
      <c r="B138" s="1">
        <f>A138/7</f>
        <v>23.571428571428573</v>
      </c>
      <c r="C138">
        <v>0.8</v>
      </c>
      <c r="D138">
        <v>1</v>
      </c>
      <c r="E138" s="1">
        <f t="shared" si="16"/>
        <v>1.0874999999999997</v>
      </c>
      <c r="F138">
        <v>1</v>
      </c>
      <c r="G138">
        <f>1</f>
        <v>1</v>
      </c>
      <c r="H138" s="1">
        <f t="shared" si="17"/>
        <v>9.181441744785996</v>
      </c>
      <c r="I138" s="1">
        <f t="shared" si="18"/>
        <v>0</v>
      </c>
      <c r="J138" s="1">
        <f t="shared" si="19"/>
        <v>0</v>
      </c>
      <c r="K138" s="1">
        <f t="shared" si="20"/>
        <v>9.181441744785996</v>
      </c>
      <c r="L138" s="1">
        <f t="shared" si="21"/>
        <v>895587.99538073037</v>
      </c>
      <c r="M138" s="1">
        <f t="shared" si="22"/>
        <v>-973951.94497654424</v>
      </c>
    </row>
    <row r="139" spans="1:13" x14ac:dyDescent="0.25">
      <c r="A139">
        <f t="shared" si="15"/>
        <v>165</v>
      </c>
      <c r="B139" s="1">
        <f>A139/7.5</f>
        <v>22</v>
      </c>
      <c r="C139">
        <v>0.8</v>
      </c>
      <c r="D139">
        <v>1</v>
      </c>
      <c r="E139" s="1">
        <f t="shared" si="16"/>
        <v>1.0874999999999997</v>
      </c>
      <c r="F139">
        <v>1</v>
      </c>
      <c r="G139">
        <f>1</f>
        <v>1</v>
      </c>
      <c r="H139" s="1">
        <f t="shared" si="17"/>
        <v>9.181441744785996</v>
      </c>
      <c r="I139" s="1">
        <f t="shared" si="18"/>
        <v>0</v>
      </c>
      <c r="J139" s="1">
        <f t="shared" si="19"/>
        <v>0</v>
      </c>
      <c r="K139" s="1">
        <f t="shared" si="20"/>
        <v>9.181441744785996</v>
      </c>
      <c r="L139" s="1">
        <f t="shared" si="21"/>
        <v>835882.12902201503</v>
      </c>
      <c r="M139" s="1">
        <f t="shared" si="22"/>
        <v>-909021.8153114412</v>
      </c>
    </row>
    <row r="140" spans="1:13" x14ac:dyDescent="0.25">
      <c r="A140">
        <f t="shared" si="15"/>
        <v>165</v>
      </c>
      <c r="B140" s="1">
        <f>A140/5</f>
        <v>33</v>
      </c>
      <c r="C140">
        <v>0.9</v>
      </c>
      <c r="D140">
        <v>1</v>
      </c>
      <c r="E140" s="1">
        <f t="shared" si="16"/>
        <v>1.0311111111111111</v>
      </c>
      <c r="F140">
        <v>1</v>
      </c>
      <c r="G140">
        <f>1</f>
        <v>1</v>
      </c>
      <c r="H140" s="1">
        <f t="shared" si="17"/>
        <v>9.181441744785996</v>
      </c>
      <c r="I140" s="1">
        <f t="shared" si="18"/>
        <v>0</v>
      </c>
      <c r="J140" s="1">
        <f t="shared" si="19"/>
        <v>0</v>
      </c>
      <c r="K140" s="1">
        <f t="shared" si="20"/>
        <v>9.181441744785996</v>
      </c>
      <c r="L140" s="1">
        <f t="shared" si="21"/>
        <v>1410551.0927246504</v>
      </c>
      <c r="M140" s="1">
        <f t="shared" si="22"/>
        <v>-1454434.9044983061</v>
      </c>
    </row>
    <row r="141" spans="1:13" x14ac:dyDescent="0.25">
      <c r="A141">
        <f t="shared" si="15"/>
        <v>165</v>
      </c>
      <c r="B141" s="1">
        <f>A141/5.5</f>
        <v>30</v>
      </c>
      <c r="C141">
        <v>0.9</v>
      </c>
      <c r="D141">
        <v>1</v>
      </c>
      <c r="E141" s="1">
        <f t="shared" si="16"/>
        <v>1.0311111111111111</v>
      </c>
      <c r="F141">
        <v>1</v>
      </c>
      <c r="G141">
        <f>1</f>
        <v>1</v>
      </c>
      <c r="H141" s="1">
        <f t="shared" si="17"/>
        <v>9.181441744785996</v>
      </c>
      <c r="I141" s="1">
        <f t="shared" si="18"/>
        <v>0</v>
      </c>
      <c r="J141" s="1">
        <f t="shared" si="19"/>
        <v>0</v>
      </c>
      <c r="K141" s="1">
        <f t="shared" si="20"/>
        <v>9.181441744785996</v>
      </c>
      <c r="L141" s="1">
        <f t="shared" si="21"/>
        <v>1282319.1752042274</v>
      </c>
      <c r="M141" s="1">
        <f t="shared" si="22"/>
        <v>-1322213.5495439149</v>
      </c>
    </row>
    <row r="142" spans="1:13" x14ac:dyDescent="0.25">
      <c r="A142">
        <f t="shared" si="15"/>
        <v>165</v>
      </c>
      <c r="B142" s="1">
        <f>A142/6</f>
        <v>27.5</v>
      </c>
      <c r="C142">
        <v>0.9</v>
      </c>
      <c r="D142">
        <v>1</v>
      </c>
      <c r="E142" s="1">
        <f t="shared" si="16"/>
        <v>1.0311111111111111</v>
      </c>
      <c r="F142">
        <v>1</v>
      </c>
      <c r="G142">
        <f>1</f>
        <v>1</v>
      </c>
      <c r="H142" s="1">
        <f t="shared" si="17"/>
        <v>9.181441744785996</v>
      </c>
      <c r="I142" s="1">
        <f t="shared" si="18"/>
        <v>0</v>
      </c>
      <c r="J142" s="1">
        <f t="shared" si="19"/>
        <v>0</v>
      </c>
      <c r="K142" s="1">
        <f t="shared" si="20"/>
        <v>9.181441744785996</v>
      </c>
      <c r="L142" s="1">
        <f t="shared" si="21"/>
        <v>1175459.2439372086</v>
      </c>
      <c r="M142" s="1">
        <f t="shared" si="22"/>
        <v>-1212029.087081922</v>
      </c>
    </row>
    <row r="143" spans="1:13" x14ac:dyDescent="0.25">
      <c r="A143">
        <f t="shared" si="15"/>
        <v>165</v>
      </c>
      <c r="B143" s="1">
        <f>A143/6.5</f>
        <v>25.384615384615383</v>
      </c>
      <c r="C143">
        <v>0.9</v>
      </c>
      <c r="D143">
        <v>1</v>
      </c>
      <c r="E143" s="1">
        <f t="shared" si="16"/>
        <v>1.0311111111111111</v>
      </c>
      <c r="F143">
        <v>1</v>
      </c>
      <c r="G143">
        <f>1</f>
        <v>1</v>
      </c>
      <c r="H143" s="1">
        <f t="shared" si="17"/>
        <v>9.181441744785996</v>
      </c>
      <c r="I143" s="1">
        <f t="shared" si="18"/>
        <v>0</v>
      </c>
      <c r="J143" s="1">
        <f t="shared" si="19"/>
        <v>0</v>
      </c>
      <c r="K143" s="1">
        <f t="shared" si="20"/>
        <v>9.181441744785996</v>
      </c>
      <c r="L143" s="1">
        <f t="shared" si="21"/>
        <v>1085039.3020958847</v>
      </c>
      <c r="M143" s="1">
        <f t="shared" si="22"/>
        <v>-1118796.0803833124</v>
      </c>
    </row>
    <row r="144" spans="1:13" x14ac:dyDescent="0.25">
      <c r="A144">
        <f t="shared" si="15"/>
        <v>165</v>
      </c>
      <c r="B144" s="1">
        <f>A144/7</f>
        <v>23.571428571428573</v>
      </c>
      <c r="C144">
        <v>0.9</v>
      </c>
      <c r="D144">
        <v>1</v>
      </c>
      <c r="E144" s="1">
        <f t="shared" si="16"/>
        <v>1.0311111111111111</v>
      </c>
      <c r="F144">
        <v>1</v>
      </c>
      <c r="G144">
        <f>1</f>
        <v>1</v>
      </c>
      <c r="H144" s="1">
        <f t="shared" si="17"/>
        <v>9.181441744785996</v>
      </c>
      <c r="I144" s="1">
        <f t="shared" si="18"/>
        <v>0</v>
      </c>
      <c r="J144" s="1">
        <f t="shared" si="19"/>
        <v>0</v>
      </c>
      <c r="K144" s="1">
        <f t="shared" si="20"/>
        <v>9.181441744785996</v>
      </c>
      <c r="L144" s="1">
        <f t="shared" si="21"/>
        <v>1007536.4948033217</v>
      </c>
      <c r="M144" s="1">
        <f t="shared" si="22"/>
        <v>-1038882.0746416473</v>
      </c>
    </row>
    <row r="145" spans="1:13" x14ac:dyDescent="0.25">
      <c r="A145">
        <f t="shared" si="15"/>
        <v>165</v>
      </c>
      <c r="B145" s="1">
        <f>A145/7.5</f>
        <v>22</v>
      </c>
      <c r="C145">
        <v>0.9</v>
      </c>
      <c r="D145">
        <v>1</v>
      </c>
      <c r="E145" s="1">
        <f t="shared" si="16"/>
        <v>1.0311111111111111</v>
      </c>
      <c r="F145">
        <v>1</v>
      </c>
      <c r="G145">
        <f>1</f>
        <v>1</v>
      </c>
      <c r="H145" s="1">
        <f t="shared" si="17"/>
        <v>9.181441744785996</v>
      </c>
      <c r="I145" s="1">
        <f t="shared" si="18"/>
        <v>0</v>
      </c>
      <c r="J145" s="1">
        <f t="shared" si="19"/>
        <v>0</v>
      </c>
      <c r="K145" s="1">
        <f t="shared" si="20"/>
        <v>9.181441744785996</v>
      </c>
      <c r="L145" s="1">
        <f t="shared" si="21"/>
        <v>940367.39514976682</v>
      </c>
      <c r="M145" s="1">
        <f t="shared" si="22"/>
        <v>-969623.26966553752</v>
      </c>
    </row>
    <row r="146" spans="1:13" x14ac:dyDescent="0.25">
      <c r="A146">
        <f t="shared" si="15"/>
        <v>180</v>
      </c>
      <c r="B146" s="1">
        <f>A146/5</f>
        <v>36</v>
      </c>
      <c r="C146">
        <v>0.6</v>
      </c>
      <c r="D146">
        <v>1</v>
      </c>
      <c r="E146" s="1">
        <f t="shared" si="16"/>
        <v>1.2566666666666666</v>
      </c>
      <c r="F146">
        <v>1</v>
      </c>
      <c r="G146">
        <f>1</f>
        <v>1</v>
      </c>
      <c r="H146" s="1">
        <f t="shared" si="17"/>
        <v>9.435465861987602</v>
      </c>
      <c r="I146" s="1">
        <f t="shared" si="18"/>
        <v>0</v>
      </c>
      <c r="J146" s="1">
        <f t="shared" si="19"/>
        <v>0</v>
      </c>
      <c r="K146" s="1">
        <f t="shared" si="20"/>
        <v>9.435465861987602</v>
      </c>
      <c r="L146" s="1">
        <f t="shared" si="21"/>
        <v>1254630.1214821467</v>
      </c>
      <c r="M146" s="1">
        <f t="shared" si="22"/>
        <v>-1576651.852662564</v>
      </c>
    </row>
    <row r="147" spans="1:13" x14ac:dyDescent="0.25">
      <c r="A147">
        <f t="shared" si="15"/>
        <v>180</v>
      </c>
      <c r="B147" s="1">
        <f>A147/5.5</f>
        <v>32.727272727272727</v>
      </c>
      <c r="C147">
        <v>0.6</v>
      </c>
      <c r="D147">
        <v>1</v>
      </c>
      <c r="E147" s="1">
        <f t="shared" si="16"/>
        <v>1.2566666666666666</v>
      </c>
      <c r="F147">
        <v>1</v>
      </c>
      <c r="G147">
        <f>1</f>
        <v>1</v>
      </c>
      <c r="H147" s="1">
        <f t="shared" si="17"/>
        <v>9.435465861987602</v>
      </c>
      <c r="I147" s="1">
        <f t="shared" si="18"/>
        <v>0</v>
      </c>
      <c r="J147" s="1">
        <f t="shared" si="19"/>
        <v>0</v>
      </c>
      <c r="K147" s="1">
        <f t="shared" si="20"/>
        <v>9.435465861987602</v>
      </c>
      <c r="L147" s="1">
        <f t="shared" si="21"/>
        <v>1140572.8377110423</v>
      </c>
      <c r="M147" s="1">
        <f t="shared" si="22"/>
        <v>-1433319.8660568765</v>
      </c>
    </row>
    <row r="148" spans="1:13" x14ac:dyDescent="0.25">
      <c r="A148">
        <f t="shared" si="15"/>
        <v>180</v>
      </c>
      <c r="B148" s="1">
        <f>A148/6</f>
        <v>30</v>
      </c>
      <c r="C148">
        <v>0.6</v>
      </c>
      <c r="D148">
        <v>1</v>
      </c>
      <c r="E148" s="1">
        <f t="shared" si="16"/>
        <v>1.2566666666666666</v>
      </c>
      <c r="F148">
        <v>1</v>
      </c>
      <c r="G148">
        <f>1</f>
        <v>1</v>
      </c>
      <c r="H148" s="1">
        <f t="shared" si="17"/>
        <v>9.435465861987602</v>
      </c>
      <c r="I148" s="1">
        <f t="shared" si="18"/>
        <v>0</v>
      </c>
      <c r="J148" s="1">
        <f t="shared" si="19"/>
        <v>0</v>
      </c>
      <c r="K148" s="1">
        <f t="shared" si="20"/>
        <v>9.435465861987602</v>
      </c>
      <c r="L148" s="1">
        <f t="shared" si="21"/>
        <v>1045525.1012351221</v>
      </c>
      <c r="M148" s="1">
        <f t="shared" si="22"/>
        <v>-1313876.5438854701</v>
      </c>
    </row>
    <row r="149" spans="1:13" x14ac:dyDescent="0.25">
      <c r="A149">
        <f t="shared" si="15"/>
        <v>180</v>
      </c>
      <c r="B149" s="1">
        <f>A149/6.5</f>
        <v>27.692307692307693</v>
      </c>
      <c r="C149">
        <v>0.6</v>
      </c>
      <c r="D149">
        <v>1</v>
      </c>
      <c r="E149" s="1">
        <f t="shared" si="16"/>
        <v>1.2566666666666666</v>
      </c>
      <c r="F149">
        <v>1</v>
      </c>
      <c r="G149">
        <f>1</f>
        <v>1</v>
      </c>
      <c r="H149" s="1">
        <f t="shared" si="17"/>
        <v>9.435465861987602</v>
      </c>
      <c r="I149" s="1">
        <f t="shared" si="18"/>
        <v>0</v>
      </c>
      <c r="J149" s="1">
        <f t="shared" si="19"/>
        <v>0</v>
      </c>
      <c r="K149" s="1">
        <f t="shared" si="20"/>
        <v>9.435465861987602</v>
      </c>
      <c r="L149" s="1">
        <f t="shared" si="21"/>
        <v>965100.09344780515</v>
      </c>
      <c r="M149" s="1">
        <f t="shared" si="22"/>
        <v>-1212809.1174327417</v>
      </c>
    </row>
    <row r="150" spans="1:13" x14ac:dyDescent="0.25">
      <c r="A150">
        <f t="shared" si="15"/>
        <v>180</v>
      </c>
      <c r="B150" s="1">
        <f>A150/7</f>
        <v>25.714285714285715</v>
      </c>
      <c r="C150">
        <v>0.6</v>
      </c>
      <c r="D150">
        <v>1</v>
      </c>
      <c r="E150" s="1">
        <f t="shared" si="16"/>
        <v>1.2566666666666666</v>
      </c>
      <c r="F150">
        <v>1</v>
      </c>
      <c r="G150">
        <f>1</f>
        <v>1</v>
      </c>
      <c r="H150" s="1">
        <f t="shared" si="17"/>
        <v>9.435465861987602</v>
      </c>
      <c r="I150" s="1">
        <f t="shared" si="18"/>
        <v>0</v>
      </c>
      <c r="J150" s="1">
        <f t="shared" si="19"/>
        <v>0</v>
      </c>
      <c r="K150" s="1">
        <f t="shared" si="20"/>
        <v>9.435465861987602</v>
      </c>
      <c r="L150" s="1">
        <f t="shared" si="21"/>
        <v>896164.37248724757</v>
      </c>
      <c r="M150" s="1">
        <f t="shared" si="22"/>
        <v>-1126179.8947589744</v>
      </c>
    </row>
    <row r="151" spans="1:13" x14ac:dyDescent="0.25">
      <c r="A151">
        <f t="shared" si="15"/>
        <v>180</v>
      </c>
      <c r="B151" s="1">
        <f>A151/7.5</f>
        <v>24</v>
      </c>
      <c r="C151">
        <v>0.6</v>
      </c>
      <c r="D151">
        <v>1</v>
      </c>
      <c r="E151" s="1">
        <f t="shared" si="16"/>
        <v>1.2566666666666666</v>
      </c>
      <c r="F151">
        <v>1</v>
      </c>
      <c r="G151">
        <f>1</f>
        <v>1</v>
      </c>
      <c r="H151" s="1">
        <f t="shared" si="17"/>
        <v>9.435465861987602</v>
      </c>
      <c r="I151" s="1">
        <f t="shared" si="18"/>
        <v>0</v>
      </c>
      <c r="J151" s="1">
        <f t="shared" si="19"/>
        <v>0</v>
      </c>
      <c r="K151" s="1">
        <f t="shared" si="20"/>
        <v>9.435465861987602</v>
      </c>
      <c r="L151" s="1">
        <f t="shared" si="21"/>
        <v>836420.08098809759</v>
      </c>
      <c r="M151" s="1">
        <f t="shared" si="22"/>
        <v>-1051101.235108376</v>
      </c>
    </row>
    <row r="152" spans="1:13" x14ac:dyDescent="0.25">
      <c r="A152">
        <f t="shared" si="15"/>
        <v>180</v>
      </c>
      <c r="B152" s="1">
        <f>A152/5</f>
        <v>36</v>
      </c>
      <c r="C152">
        <v>0.7</v>
      </c>
      <c r="D152">
        <v>1</v>
      </c>
      <c r="E152" s="1">
        <f t="shared" si="16"/>
        <v>1.1599999999999999</v>
      </c>
      <c r="F152">
        <v>1</v>
      </c>
      <c r="G152">
        <f>1</f>
        <v>1</v>
      </c>
      <c r="H152" s="1">
        <f t="shared" si="17"/>
        <v>9.435465861987602</v>
      </c>
      <c r="I152" s="1">
        <f t="shared" si="18"/>
        <v>0</v>
      </c>
      <c r="J152" s="1">
        <f t="shared" si="19"/>
        <v>0</v>
      </c>
      <c r="K152" s="1">
        <f t="shared" si="20"/>
        <v>9.435465861987602</v>
      </c>
      <c r="L152" s="1">
        <f t="shared" si="21"/>
        <v>1463735.1417291709</v>
      </c>
      <c r="M152" s="1">
        <f t="shared" si="22"/>
        <v>-1697932.7644058387</v>
      </c>
    </row>
    <row r="153" spans="1:13" x14ac:dyDescent="0.25">
      <c r="A153">
        <f t="shared" si="15"/>
        <v>180</v>
      </c>
      <c r="B153" s="1">
        <f>A153/5.5</f>
        <v>32.727272727272727</v>
      </c>
      <c r="C153">
        <v>0.7</v>
      </c>
      <c r="D153">
        <v>1</v>
      </c>
      <c r="E153" s="1">
        <f t="shared" si="16"/>
        <v>1.1599999999999999</v>
      </c>
      <c r="F153">
        <v>1</v>
      </c>
      <c r="G153">
        <f>1</f>
        <v>1</v>
      </c>
      <c r="H153" s="1">
        <f t="shared" si="17"/>
        <v>9.435465861987602</v>
      </c>
      <c r="I153" s="1">
        <f t="shared" si="18"/>
        <v>0</v>
      </c>
      <c r="J153" s="1">
        <f t="shared" si="19"/>
        <v>0</v>
      </c>
      <c r="K153" s="1">
        <f t="shared" si="20"/>
        <v>9.435465861987602</v>
      </c>
      <c r="L153" s="1">
        <f t="shared" si="21"/>
        <v>1330668.3106628826</v>
      </c>
      <c r="M153" s="1">
        <f t="shared" si="22"/>
        <v>-1543575.2403689439</v>
      </c>
    </row>
    <row r="154" spans="1:13" x14ac:dyDescent="0.25">
      <c r="A154">
        <f t="shared" si="15"/>
        <v>180</v>
      </c>
      <c r="B154" s="1">
        <f>A154/6</f>
        <v>30</v>
      </c>
      <c r="C154">
        <v>0.7</v>
      </c>
      <c r="D154">
        <v>1</v>
      </c>
      <c r="E154" s="1">
        <f t="shared" si="16"/>
        <v>1.1599999999999999</v>
      </c>
      <c r="F154">
        <v>1</v>
      </c>
      <c r="G154">
        <f>1</f>
        <v>1</v>
      </c>
      <c r="H154" s="1">
        <f t="shared" si="17"/>
        <v>9.435465861987602</v>
      </c>
      <c r="I154" s="1">
        <f t="shared" si="18"/>
        <v>0</v>
      </c>
      <c r="J154" s="1">
        <f t="shared" si="19"/>
        <v>0</v>
      </c>
      <c r="K154" s="1">
        <f t="shared" si="20"/>
        <v>9.435465861987602</v>
      </c>
      <c r="L154" s="1">
        <f t="shared" si="21"/>
        <v>1219779.284774309</v>
      </c>
      <c r="M154" s="1">
        <f t="shared" si="22"/>
        <v>-1414943.9703381986</v>
      </c>
    </row>
    <row r="155" spans="1:13" x14ac:dyDescent="0.25">
      <c r="A155">
        <f t="shared" ref="A155:A218" si="23">A131+15</f>
        <v>180</v>
      </c>
      <c r="B155" s="1">
        <f>A155/6.5</f>
        <v>27.692307692307693</v>
      </c>
      <c r="C155">
        <v>0.7</v>
      </c>
      <c r="D155">
        <v>1</v>
      </c>
      <c r="E155" s="1">
        <f t="shared" si="16"/>
        <v>1.1599999999999999</v>
      </c>
      <c r="F155">
        <v>1</v>
      </c>
      <c r="G155">
        <f>1</f>
        <v>1</v>
      </c>
      <c r="H155" s="1">
        <f t="shared" si="17"/>
        <v>9.435465861987602</v>
      </c>
      <c r="I155" s="1">
        <f t="shared" si="18"/>
        <v>0</v>
      </c>
      <c r="J155" s="1">
        <f t="shared" si="19"/>
        <v>0</v>
      </c>
      <c r="K155" s="1">
        <f t="shared" si="20"/>
        <v>9.435465861987602</v>
      </c>
      <c r="L155" s="1">
        <f t="shared" si="21"/>
        <v>1125950.1090224392</v>
      </c>
      <c r="M155" s="1">
        <f t="shared" si="22"/>
        <v>-1306102.1264660296</v>
      </c>
    </row>
    <row r="156" spans="1:13" x14ac:dyDescent="0.25">
      <c r="A156">
        <f t="shared" si="23"/>
        <v>180</v>
      </c>
      <c r="B156" s="1">
        <f>A156/7</f>
        <v>25.714285714285715</v>
      </c>
      <c r="C156">
        <v>0.7</v>
      </c>
      <c r="D156">
        <v>1</v>
      </c>
      <c r="E156" s="1">
        <f t="shared" si="16"/>
        <v>1.1599999999999999</v>
      </c>
      <c r="F156">
        <v>1</v>
      </c>
      <c r="G156">
        <f>1</f>
        <v>1</v>
      </c>
      <c r="H156" s="1">
        <f t="shared" si="17"/>
        <v>9.435465861987602</v>
      </c>
      <c r="I156" s="1">
        <f t="shared" si="18"/>
        <v>0</v>
      </c>
      <c r="J156" s="1">
        <f t="shared" si="19"/>
        <v>0</v>
      </c>
      <c r="K156" s="1">
        <f t="shared" si="20"/>
        <v>9.435465861987602</v>
      </c>
      <c r="L156" s="1">
        <f t="shared" si="21"/>
        <v>1045525.1012351221</v>
      </c>
      <c r="M156" s="1">
        <f t="shared" si="22"/>
        <v>-1212809.1174327417</v>
      </c>
    </row>
    <row r="157" spans="1:13" x14ac:dyDescent="0.25">
      <c r="A157">
        <f t="shared" si="23"/>
        <v>180</v>
      </c>
      <c r="B157" s="1">
        <f>A157/7.5</f>
        <v>24</v>
      </c>
      <c r="C157">
        <v>0.7</v>
      </c>
      <c r="D157">
        <v>1</v>
      </c>
      <c r="E157" s="1">
        <f t="shared" si="16"/>
        <v>1.1599999999999999</v>
      </c>
      <c r="F157">
        <v>1</v>
      </c>
      <c r="G157">
        <f>1</f>
        <v>1</v>
      </c>
      <c r="H157" s="1">
        <f t="shared" si="17"/>
        <v>9.435465861987602</v>
      </c>
      <c r="I157" s="1">
        <f t="shared" si="18"/>
        <v>0</v>
      </c>
      <c r="J157" s="1">
        <f t="shared" si="19"/>
        <v>0</v>
      </c>
      <c r="K157" s="1">
        <f t="shared" si="20"/>
        <v>9.435465861987602</v>
      </c>
      <c r="L157" s="1">
        <f t="shared" si="21"/>
        <v>975823.42781944724</v>
      </c>
      <c r="M157" s="1">
        <f t="shared" si="22"/>
        <v>-1131955.176270559</v>
      </c>
    </row>
    <row r="158" spans="1:13" x14ac:dyDescent="0.25">
      <c r="A158">
        <f t="shared" si="23"/>
        <v>180</v>
      </c>
      <c r="B158" s="1">
        <f>A158/5</f>
        <v>36</v>
      </c>
      <c r="C158">
        <v>0.8</v>
      </c>
      <c r="D158">
        <v>1</v>
      </c>
      <c r="E158" s="1">
        <f t="shared" si="16"/>
        <v>1.0874999999999997</v>
      </c>
      <c r="F158">
        <v>1</v>
      </c>
      <c r="G158">
        <f>1</f>
        <v>1</v>
      </c>
      <c r="H158" s="1">
        <f t="shared" si="17"/>
        <v>9.435465861987602</v>
      </c>
      <c r="I158" s="1">
        <f t="shared" si="18"/>
        <v>0</v>
      </c>
      <c r="J158" s="1">
        <f t="shared" si="19"/>
        <v>0</v>
      </c>
      <c r="K158" s="1">
        <f t="shared" si="20"/>
        <v>9.435465861987602</v>
      </c>
      <c r="L158" s="1">
        <f t="shared" si="21"/>
        <v>1672840.1619761956</v>
      </c>
      <c r="M158" s="1">
        <f t="shared" si="22"/>
        <v>-1819213.6761491124</v>
      </c>
    </row>
    <row r="159" spans="1:13" x14ac:dyDescent="0.25">
      <c r="A159">
        <f t="shared" si="23"/>
        <v>180</v>
      </c>
      <c r="B159" s="1">
        <f>A159/5.5</f>
        <v>32.727272727272727</v>
      </c>
      <c r="C159">
        <v>0.8</v>
      </c>
      <c r="D159">
        <v>1</v>
      </c>
      <c r="E159" s="1">
        <f t="shared" si="16"/>
        <v>1.0874999999999997</v>
      </c>
      <c r="F159">
        <v>1</v>
      </c>
      <c r="G159">
        <f>1</f>
        <v>1</v>
      </c>
      <c r="H159" s="1">
        <f t="shared" si="17"/>
        <v>9.435465861987602</v>
      </c>
      <c r="I159" s="1">
        <f t="shared" si="18"/>
        <v>0</v>
      </c>
      <c r="J159" s="1">
        <f t="shared" si="19"/>
        <v>0</v>
      </c>
      <c r="K159" s="1">
        <f t="shared" si="20"/>
        <v>9.435465861987602</v>
      </c>
      <c r="L159" s="1">
        <f t="shared" si="21"/>
        <v>1520763.7836147232</v>
      </c>
      <c r="M159" s="1">
        <f t="shared" si="22"/>
        <v>-1653830.6146810113</v>
      </c>
    </row>
    <row r="160" spans="1:13" x14ac:dyDescent="0.25">
      <c r="A160">
        <f t="shared" si="23"/>
        <v>180</v>
      </c>
      <c r="B160" s="1">
        <f>A160/6</f>
        <v>30</v>
      </c>
      <c r="C160">
        <v>0.8</v>
      </c>
      <c r="D160">
        <v>1</v>
      </c>
      <c r="E160" s="1">
        <f t="shared" si="16"/>
        <v>1.0874999999999997</v>
      </c>
      <c r="F160">
        <v>1</v>
      </c>
      <c r="G160">
        <f>1</f>
        <v>1</v>
      </c>
      <c r="H160" s="1">
        <f t="shared" si="17"/>
        <v>9.435465861987602</v>
      </c>
      <c r="I160" s="1">
        <f t="shared" si="18"/>
        <v>0</v>
      </c>
      <c r="J160" s="1">
        <f t="shared" si="19"/>
        <v>0</v>
      </c>
      <c r="K160" s="1">
        <f t="shared" si="20"/>
        <v>9.435465861987602</v>
      </c>
      <c r="L160" s="1">
        <f t="shared" si="21"/>
        <v>1394033.4683134963</v>
      </c>
      <c r="M160" s="1">
        <f t="shared" si="22"/>
        <v>-1516011.396790927</v>
      </c>
    </row>
    <row r="161" spans="1:13" x14ac:dyDescent="0.25">
      <c r="A161">
        <f t="shared" si="23"/>
        <v>180</v>
      </c>
      <c r="B161" s="1">
        <f>A161/6.5</f>
        <v>27.692307692307693</v>
      </c>
      <c r="C161">
        <v>0.8</v>
      </c>
      <c r="D161">
        <v>1</v>
      </c>
      <c r="E161" s="1">
        <f t="shared" si="16"/>
        <v>1.0874999999999997</v>
      </c>
      <c r="F161">
        <v>1</v>
      </c>
      <c r="G161">
        <f>1</f>
        <v>1</v>
      </c>
      <c r="H161" s="1">
        <f t="shared" si="17"/>
        <v>9.435465861987602</v>
      </c>
      <c r="I161" s="1">
        <f t="shared" si="18"/>
        <v>0</v>
      </c>
      <c r="J161" s="1">
        <f t="shared" si="19"/>
        <v>0</v>
      </c>
      <c r="K161" s="1">
        <f t="shared" si="20"/>
        <v>9.435465861987602</v>
      </c>
      <c r="L161" s="1">
        <f t="shared" si="21"/>
        <v>1286800.1245970735</v>
      </c>
      <c r="M161" s="1">
        <f t="shared" si="22"/>
        <v>-1399395.1354993172</v>
      </c>
    </row>
    <row r="162" spans="1:13" x14ac:dyDescent="0.25">
      <c r="A162">
        <f t="shared" si="23"/>
        <v>180</v>
      </c>
      <c r="B162" s="1">
        <f>A162/7</f>
        <v>25.714285714285715</v>
      </c>
      <c r="C162">
        <v>0.8</v>
      </c>
      <c r="D162">
        <v>1</v>
      </c>
      <c r="E162" s="1">
        <f t="shared" si="16"/>
        <v>1.0874999999999997</v>
      </c>
      <c r="F162">
        <v>1</v>
      </c>
      <c r="G162">
        <f>1</f>
        <v>1</v>
      </c>
      <c r="H162" s="1">
        <f t="shared" si="17"/>
        <v>9.435465861987602</v>
      </c>
      <c r="I162" s="1">
        <f t="shared" si="18"/>
        <v>0</v>
      </c>
      <c r="J162" s="1">
        <f t="shared" si="19"/>
        <v>0</v>
      </c>
      <c r="K162" s="1">
        <f t="shared" si="20"/>
        <v>9.435465861987602</v>
      </c>
      <c r="L162" s="1">
        <f t="shared" si="21"/>
        <v>1194885.8299829967</v>
      </c>
      <c r="M162" s="1">
        <f t="shared" si="22"/>
        <v>-1299438.3401065089</v>
      </c>
    </row>
    <row r="163" spans="1:13" x14ac:dyDescent="0.25">
      <c r="A163">
        <f t="shared" si="23"/>
        <v>180</v>
      </c>
      <c r="B163" s="1">
        <f>A163/7.5</f>
        <v>24</v>
      </c>
      <c r="C163">
        <v>0.8</v>
      </c>
      <c r="D163">
        <v>1</v>
      </c>
      <c r="E163" s="1">
        <f t="shared" si="16"/>
        <v>1.0874999999999997</v>
      </c>
      <c r="F163">
        <v>1</v>
      </c>
      <c r="G163">
        <f>1</f>
        <v>1</v>
      </c>
      <c r="H163" s="1">
        <f t="shared" si="17"/>
        <v>9.435465861987602</v>
      </c>
      <c r="I163" s="1">
        <f t="shared" si="18"/>
        <v>0</v>
      </c>
      <c r="J163" s="1">
        <f t="shared" si="19"/>
        <v>0</v>
      </c>
      <c r="K163" s="1">
        <f t="shared" si="20"/>
        <v>9.435465861987602</v>
      </c>
      <c r="L163" s="1">
        <f t="shared" si="21"/>
        <v>1115226.774650797</v>
      </c>
      <c r="M163" s="1">
        <f t="shared" si="22"/>
        <v>-1212809.1174327417</v>
      </c>
    </row>
    <row r="164" spans="1:13" x14ac:dyDescent="0.25">
      <c r="A164">
        <f t="shared" si="23"/>
        <v>180</v>
      </c>
      <c r="B164" s="1">
        <f>A164/5</f>
        <v>36</v>
      </c>
      <c r="C164">
        <v>0.9</v>
      </c>
      <c r="D164">
        <v>1</v>
      </c>
      <c r="E164" s="1">
        <f t="shared" si="16"/>
        <v>1.0311111111111111</v>
      </c>
      <c r="F164">
        <v>1</v>
      </c>
      <c r="G164">
        <f>1</f>
        <v>1</v>
      </c>
      <c r="H164" s="1">
        <f t="shared" si="17"/>
        <v>9.435465861987602</v>
      </c>
      <c r="I164" s="1">
        <f t="shared" si="18"/>
        <v>0</v>
      </c>
      <c r="J164" s="1">
        <f t="shared" si="19"/>
        <v>0</v>
      </c>
      <c r="K164" s="1">
        <f t="shared" si="20"/>
        <v>9.435465861987602</v>
      </c>
      <c r="L164" s="1">
        <f t="shared" si="21"/>
        <v>1881945.1822232199</v>
      </c>
      <c r="M164" s="1">
        <f t="shared" si="22"/>
        <v>-1940494.5878923868</v>
      </c>
    </row>
    <row r="165" spans="1:13" x14ac:dyDescent="0.25">
      <c r="A165">
        <f t="shared" si="23"/>
        <v>180</v>
      </c>
      <c r="B165" s="1">
        <f>A165/5.5</f>
        <v>32.727272727272727</v>
      </c>
      <c r="C165">
        <v>0.9</v>
      </c>
      <c r="D165">
        <v>1</v>
      </c>
      <c r="E165" s="1">
        <f t="shared" si="16"/>
        <v>1.0311111111111111</v>
      </c>
      <c r="F165">
        <v>1</v>
      </c>
      <c r="G165">
        <f>1</f>
        <v>1</v>
      </c>
      <c r="H165" s="1">
        <f t="shared" si="17"/>
        <v>9.435465861987602</v>
      </c>
      <c r="I165" s="1">
        <f t="shared" si="18"/>
        <v>0</v>
      </c>
      <c r="J165" s="1">
        <f t="shared" si="19"/>
        <v>0</v>
      </c>
      <c r="K165" s="1">
        <f t="shared" si="20"/>
        <v>9.435465861987602</v>
      </c>
      <c r="L165" s="1">
        <f t="shared" si="21"/>
        <v>1710859.2565665636</v>
      </c>
      <c r="M165" s="1">
        <f t="shared" si="22"/>
        <v>-1764085.9889930789</v>
      </c>
    </row>
    <row r="166" spans="1:13" x14ac:dyDescent="0.25">
      <c r="A166">
        <f t="shared" si="23"/>
        <v>180</v>
      </c>
      <c r="B166" s="1">
        <f>A166/6</f>
        <v>30</v>
      </c>
      <c r="C166">
        <v>0.9</v>
      </c>
      <c r="D166">
        <v>1</v>
      </c>
      <c r="E166" s="1">
        <f t="shared" si="16"/>
        <v>1.0311111111111111</v>
      </c>
      <c r="F166">
        <v>1</v>
      </c>
      <c r="G166">
        <f>1</f>
        <v>1</v>
      </c>
      <c r="H166" s="1">
        <f t="shared" si="17"/>
        <v>9.435465861987602</v>
      </c>
      <c r="I166" s="1">
        <f t="shared" si="18"/>
        <v>0</v>
      </c>
      <c r="J166" s="1">
        <f t="shared" si="19"/>
        <v>0</v>
      </c>
      <c r="K166" s="1">
        <f t="shared" si="20"/>
        <v>9.435465861987602</v>
      </c>
      <c r="L166" s="1">
        <f t="shared" si="21"/>
        <v>1568287.6518526832</v>
      </c>
      <c r="M166" s="1">
        <f t="shared" si="22"/>
        <v>-1617078.8232436557</v>
      </c>
    </row>
    <row r="167" spans="1:13" x14ac:dyDescent="0.25">
      <c r="A167">
        <f t="shared" si="23"/>
        <v>180</v>
      </c>
      <c r="B167" s="1">
        <f>A167/6.5</f>
        <v>27.692307692307693</v>
      </c>
      <c r="C167">
        <v>0.9</v>
      </c>
      <c r="D167">
        <v>1</v>
      </c>
      <c r="E167" s="1">
        <f t="shared" si="16"/>
        <v>1.0311111111111111</v>
      </c>
      <c r="F167">
        <v>1</v>
      </c>
      <c r="G167">
        <f>1</f>
        <v>1</v>
      </c>
      <c r="H167" s="1">
        <f t="shared" si="17"/>
        <v>9.435465861987602</v>
      </c>
      <c r="I167" s="1">
        <f t="shared" si="18"/>
        <v>0</v>
      </c>
      <c r="J167" s="1">
        <f t="shared" si="19"/>
        <v>0</v>
      </c>
      <c r="K167" s="1">
        <f t="shared" si="20"/>
        <v>9.435465861987602</v>
      </c>
      <c r="L167" s="1">
        <f t="shared" si="21"/>
        <v>1447650.1401717078</v>
      </c>
      <c r="M167" s="1">
        <f t="shared" si="22"/>
        <v>-1492688.1445326053</v>
      </c>
    </row>
    <row r="168" spans="1:13" x14ac:dyDescent="0.25">
      <c r="A168">
        <f t="shared" si="23"/>
        <v>180</v>
      </c>
      <c r="B168" s="1">
        <f>A168/7</f>
        <v>25.714285714285715</v>
      </c>
      <c r="C168">
        <v>0.9</v>
      </c>
      <c r="D168">
        <v>1</v>
      </c>
      <c r="E168" s="1">
        <f t="shared" si="16"/>
        <v>1.0311111111111111</v>
      </c>
      <c r="F168">
        <v>1</v>
      </c>
      <c r="G168">
        <f>1</f>
        <v>1</v>
      </c>
      <c r="H168" s="1">
        <f t="shared" si="17"/>
        <v>9.435465861987602</v>
      </c>
      <c r="I168" s="1">
        <f t="shared" si="18"/>
        <v>0</v>
      </c>
      <c r="J168" s="1">
        <f t="shared" si="19"/>
        <v>0</v>
      </c>
      <c r="K168" s="1">
        <f t="shared" si="20"/>
        <v>9.435465861987602</v>
      </c>
      <c r="L168" s="1">
        <f t="shared" si="21"/>
        <v>1344246.5587308714</v>
      </c>
      <c r="M168" s="1">
        <f t="shared" si="22"/>
        <v>-1386067.5627802764</v>
      </c>
    </row>
    <row r="169" spans="1:13" x14ac:dyDescent="0.25">
      <c r="A169">
        <f t="shared" si="23"/>
        <v>180</v>
      </c>
      <c r="B169" s="1">
        <f>A169/7.5</f>
        <v>24</v>
      </c>
      <c r="C169">
        <v>0.9</v>
      </c>
      <c r="D169">
        <v>1</v>
      </c>
      <c r="E169" s="1">
        <f t="shared" si="16"/>
        <v>1.0311111111111111</v>
      </c>
      <c r="F169">
        <v>1</v>
      </c>
      <c r="G169">
        <f>1</f>
        <v>1</v>
      </c>
      <c r="H169" s="1">
        <f t="shared" si="17"/>
        <v>9.435465861987602</v>
      </c>
      <c r="I169" s="1">
        <f t="shared" si="18"/>
        <v>0</v>
      </c>
      <c r="J169" s="1">
        <f t="shared" si="19"/>
        <v>0</v>
      </c>
      <c r="K169" s="1">
        <f t="shared" si="20"/>
        <v>9.435465861987602</v>
      </c>
      <c r="L169" s="1">
        <f t="shared" si="21"/>
        <v>1254630.1214821464</v>
      </c>
      <c r="M169" s="1">
        <f t="shared" si="22"/>
        <v>-1293663.0585949246</v>
      </c>
    </row>
    <row r="170" spans="1:13" x14ac:dyDescent="0.25">
      <c r="A170">
        <f t="shared" si="23"/>
        <v>195</v>
      </c>
      <c r="B170" s="1">
        <f>A170/5</f>
        <v>39</v>
      </c>
      <c r="C170">
        <v>0.6</v>
      </c>
      <c r="D170">
        <v>1</v>
      </c>
      <c r="E170" s="1">
        <f t="shared" si="16"/>
        <v>1.2566666666666666</v>
      </c>
      <c r="F170">
        <v>1</v>
      </c>
      <c r="G170">
        <f>1</f>
        <v>1</v>
      </c>
      <c r="H170" s="1">
        <f t="shared" si="17"/>
        <v>9.674070169574243</v>
      </c>
      <c r="I170" s="1">
        <f t="shared" si="18"/>
        <v>0</v>
      </c>
      <c r="J170" s="1">
        <f t="shared" si="19"/>
        <v>0</v>
      </c>
      <c r="K170" s="1">
        <f t="shared" si="20"/>
        <v>9.674070169574243</v>
      </c>
      <c r="L170" s="1">
        <f t="shared" si="21"/>
        <v>1635490.0799085773</v>
      </c>
      <c r="M170" s="1">
        <f t="shared" si="22"/>
        <v>-2055265.867085112</v>
      </c>
    </row>
    <row r="171" spans="1:13" x14ac:dyDescent="0.25">
      <c r="A171">
        <f t="shared" si="23"/>
        <v>195</v>
      </c>
      <c r="B171" s="1">
        <f>A171/5.5</f>
        <v>35.454545454545453</v>
      </c>
      <c r="C171">
        <v>0.6</v>
      </c>
      <c r="D171">
        <v>1</v>
      </c>
      <c r="E171" s="1">
        <f t="shared" si="16"/>
        <v>1.2566666666666666</v>
      </c>
      <c r="F171">
        <v>1</v>
      </c>
      <c r="G171">
        <f>1</f>
        <v>1</v>
      </c>
      <c r="H171" s="1">
        <f t="shared" si="17"/>
        <v>9.674070169574243</v>
      </c>
      <c r="I171" s="1">
        <f t="shared" si="18"/>
        <v>0</v>
      </c>
      <c r="J171" s="1">
        <f t="shared" si="19"/>
        <v>0</v>
      </c>
      <c r="K171" s="1">
        <f t="shared" si="20"/>
        <v>9.674070169574243</v>
      </c>
      <c r="L171" s="1">
        <f t="shared" si="21"/>
        <v>1486809.1635532521</v>
      </c>
      <c r="M171" s="1">
        <f t="shared" si="22"/>
        <v>-1868423.5155319199</v>
      </c>
    </row>
    <row r="172" spans="1:13" x14ac:dyDescent="0.25">
      <c r="A172">
        <f t="shared" si="23"/>
        <v>195</v>
      </c>
      <c r="B172" s="1">
        <f>A172/6</f>
        <v>32.5</v>
      </c>
      <c r="C172">
        <v>0.6</v>
      </c>
      <c r="D172">
        <v>1</v>
      </c>
      <c r="E172" s="1">
        <f t="shared" si="16"/>
        <v>1.2566666666666666</v>
      </c>
      <c r="F172">
        <v>1</v>
      </c>
      <c r="G172">
        <f>1</f>
        <v>1</v>
      </c>
      <c r="H172" s="1">
        <f t="shared" si="17"/>
        <v>9.674070169574243</v>
      </c>
      <c r="I172" s="1">
        <f t="shared" si="18"/>
        <v>0</v>
      </c>
      <c r="J172" s="1">
        <f t="shared" si="19"/>
        <v>0</v>
      </c>
      <c r="K172" s="1">
        <f t="shared" si="20"/>
        <v>9.674070169574243</v>
      </c>
      <c r="L172" s="1">
        <f t="shared" si="21"/>
        <v>1362908.3999238142</v>
      </c>
      <c r="M172" s="1">
        <f t="shared" si="22"/>
        <v>-1712721.5559042599</v>
      </c>
    </row>
    <row r="173" spans="1:13" x14ac:dyDescent="0.25">
      <c r="A173">
        <f t="shared" si="23"/>
        <v>195</v>
      </c>
      <c r="B173" s="1">
        <f>A173/6.5</f>
        <v>30</v>
      </c>
      <c r="C173">
        <v>0.6</v>
      </c>
      <c r="D173">
        <v>1</v>
      </c>
      <c r="E173" s="1">
        <f t="shared" si="16"/>
        <v>1.2566666666666666</v>
      </c>
      <c r="F173">
        <v>1</v>
      </c>
      <c r="G173">
        <f>1</f>
        <v>1</v>
      </c>
      <c r="H173" s="1">
        <f t="shared" si="17"/>
        <v>9.674070169574243</v>
      </c>
      <c r="I173" s="1">
        <f t="shared" si="18"/>
        <v>0</v>
      </c>
      <c r="J173" s="1">
        <f t="shared" si="19"/>
        <v>0</v>
      </c>
      <c r="K173" s="1">
        <f t="shared" si="20"/>
        <v>9.674070169574243</v>
      </c>
      <c r="L173" s="1">
        <f t="shared" si="21"/>
        <v>1258069.292237367</v>
      </c>
      <c r="M173" s="1">
        <f t="shared" si="22"/>
        <v>-1580973.7439116247</v>
      </c>
    </row>
    <row r="174" spans="1:13" x14ac:dyDescent="0.25">
      <c r="A174">
        <f t="shared" si="23"/>
        <v>195</v>
      </c>
      <c r="B174" s="1">
        <f>A174/7</f>
        <v>27.857142857142858</v>
      </c>
      <c r="C174">
        <v>0.6</v>
      </c>
      <c r="D174">
        <v>1</v>
      </c>
      <c r="E174" s="1">
        <f t="shared" si="16"/>
        <v>1.2566666666666666</v>
      </c>
      <c r="F174">
        <v>1</v>
      </c>
      <c r="G174">
        <f>1</f>
        <v>1</v>
      </c>
      <c r="H174" s="1">
        <f t="shared" si="17"/>
        <v>9.674070169574243</v>
      </c>
      <c r="I174" s="1">
        <f t="shared" si="18"/>
        <v>0</v>
      </c>
      <c r="J174" s="1">
        <f t="shared" si="19"/>
        <v>0</v>
      </c>
      <c r="K174" s="1">
        <f t="shared" si="20"/>
        <v>9.674070169574243</v>
      </c>
      <c r="L174" s="1">
        <f t="shared" si="21"/>
        <v>1168207.1999346982</v>
      </c>
      <c r="M174" s="1">
        <f t="shared" si="22"/>
        <v>-1468047.0479179372</v>
      </c>
    </row>
    <row r="175" spans="1:13" x14ac:dyDescent="0.25">
      <c r="A175">
        <f t="shared" si="23"/>
        <v>195</v>
      </c>
      <c r="B175" s="1">
        <f>A175/7.5</f>
        <v>26</v>
      </c>
      <c r="C175">
        <v>0.6</v>
      </c>
      <c r="D175">
        <v>1</v>
      </c>
      <c r="E175" s="1">
        <f t="shared" si="16"/>
        <v>1.2566666666666666</v>
      </c>
      <c r="F175">
        <v>1</v>
      </c>
      <c r="G175">
        <f>1</f>
        <v>1</v>
      </c>
      <c r="H175" s="1">
        <f t="shared" si="17"/>
        <v>9.674070169574243</v>
      </c>
      <c r="I175" s="1">
        <f t="shared" si="18"/>
        <v>0</v>
      </c>
      <c r="J175" s="1">
        <f t="shared" si="19"/>
        <v>0</v>
      </c>
      <c r="K175" s="1">
        <f t="shared" si="20"/>
        <v>9.674070169574243</v>
      </c>
      <c r="L175" s="1">
        <f t="shared" si="21"/>
        <v>1090326.7199390514</v>
      </c>
      <c r="M175" s="1">
        <f t="shared" si="22"/>
        <v>-1370177.244723408</v>
      </c>
    </row>
    <row r="176" spans="1:13" x14ac:dyDescent="0.25">
      <c r="A176">
        <f t="shared" si="23"/>
        <v>195</v>
      </c>
      <c r="B176" s="1">
        <f>A176/5</f>
        <v>39</v>
      </c>
      <c r="C176">
        <v>0.7</v>
      </c>
      <c r="D176">
        <v>1</v>
      </c>
      <c r="E176" s="1">
        <f t="shared" si="16"/>
        <v>1.1599999999999999</v>
      </c>
      <c r="F176">
        <v>1</v>
      </c>
      <c r="G176">
        <f>1</f>
        <v>1</v>
      </c>
      <c r="H176" s="1">
        <f t="shared" si="17"/>
        <v>9.674070169574243</v>
      </c>
      <c r="I176" s="1">
        <f t="shared" si="18"/>
        <v>0</v>
      </c>
      <c r="J176" s="1">
        <f t="shared" si="19"/>
        <v>0</v>
      </c>
      <c r="K176" s="1">
        <f t="shared" si="20"/>
        <v>9.674070169574243</v>
      </c>
      <c r="L176" s="1">
        <f t="shared" si="21"/>
        <v>1908071.7598933401</v>
      </c>
      <c r="M176" s="1">
        <f t="shared" si="22"/>
        <v>-2213363.2414762746</v>
      </c>
    </row>
    <row r="177" spans="1:13" x14ac:dyDescent="0.25">
      <c r="A177">
        <f t="shared" si="23"/>
        <v>195</v>
      </c>
      <c r="B177" s="1">
        <f>A177/5.5</f>
        <v>35.454545454545453</v>
      </c>
      <c r="C177">
        <v>0.7</v>
      </c>
      <c r="D177">
        <v>1</v>
      </c>
      <c r="E177" s="1">
        <f t="shared" si="16"/>
        <v>1.1599999999999999</v>
      </c>
      <c r="F177">
        <v>1</v>
      </c>
      <c r="G177">
        <f>1</f>
        <v>1</v>
      </c>
      <c r="H177" s="1">
        <f t="shared" si="17"/>
        <v>9.674070169574243</v>
      </c>
      <c r="I177" s="1">
        <f t="shared" si="18"/>
        <v>0</v>
      </c>
      <c r="J177" s="1">
        <f t="shared" si="19"/>
        <v>0</v>
      </c>
      <c r="K177" s="1">
        <f t="shared" si="20"/>
        <v>9.674070169574243</v>
      </c>
      <c r="L177" s="1">
        <f t="shared" si="21"/>
        <v>1734610.6908121274</v>
      </c>
      <c r="M177" s="1">
        <f t="shared" si="22"/>
        <v>-2012148.4013420679</v>
      </c>
    </row>
    <row r="178" spans="1:13" x14ac:dyDescent="0.25">
      <c r="A178">
        <f t="shared" si="23"/>
        <v>195</v>
      </c>
      <c r="B178" s="1">
        <f>A178/6</f>
        <v>32.5</v>
      </c>
      <c r="C178">
        <v>0.7</v>
      </c>
      <c r="D178">
        <v>1</v>
      </c>
      <c r="E178" s="1">
        <f t="shared" si="16"/>
        <v>1.1599999999999999</v>
      </c>
      <c r="F178">
        <v>1</v>
      </c>
      <c r="G178">
        <f>1</f>
        <v>1</v>
      </c>
      <c r="H178" s="1">
        <f t="shared" si="17"/>
        <v>9.674070169574243</v>
      </c>
      <c r="I178" s="1">
        <f t="shared" si="18"/>
        <v>0</v>
      </c>
      <c r="J178" s="1">
        <f t="shared" si="19"/>
        <v>0</v>
      </c>
      <c r="K178" s="1">
        <f t="shared" si="20"/>
        <v>9.674070169574243</v>
      </c>
      <c r="L178" s="1">
        <f t="shared" si="21"/>
        <v>1590059.7999111167</v>
      </c>
      <c r="M178" s="1">
        <f t="shared" si="22"/>
        <v>-1844469.3678968956</v>
      </c>
    </row>
    <row r="179" spans="1:13" x14ac:dyDescent="0.25">
      <c r="A179">
        <f t="shared" si="23"/>
        <v>195</v>
      </c>
      <c r="B179" s="1">
        <f>A179/6.5</f>
        <v>30</v>
      </c>
      <c r="C179">
        <v>0.7</v>
      </c>
      <c r="D179">
        <v>1</v>
      </c>
      <c r="E179" s="1">
        <f t="shared" si="16"/>
        <v>1.1599999999999999</v>
      </c>
      <c r="F179">
        <v>1</v>
      </c>
      <c r="G179">
        <f>1</f>
        <v>1</v>
      </c>
      <c r="H179" s="1">
        <f t="shared" si="17"/>
        <v>9.674070169574243</v>
      </c>
      <c r="I179" s="1">
        <f t="shared" si="18"/>
        <v>0</v>
      </c>
      <c r="J179" s="1">
        <f t="shared" si="19"/>
        <v>0</v>
      </c>
      <c r="K179" s="1">
        <f t="shared" si="20"/>
        <v>9.674070169574243</v>
      </c>
      <c r="L179" s="1">
        <f t="shared" si="21"/>
        <v>1467747.5076102614</v>
      </c>
      <c r="M179" s="1">
        <f t="shared" si="22"/>
        <v>-1702587.1088279036</v>
      </c>
    </row>
    <row r="180" spans="1:13" x14ac:dyDescent="0.25">
      <c r="A180">
        <f t="shared" si="23"/>
        <v>195</v>
      </c>
      <c r="B180" s="1">
        <f>A180/7</f>
        <v>27.857142857142858</v>
      </c>
      <c r="C180">
        <v>0.7</v>
      </c>
      <c r="D180">
        <v>1</v>
      </c>
      <c r="E180" s="1">
        <f t="shared" si="16"/>
        <v>1.1599999999999999</v>
      </c>
      <c r="F180">
        <v>1</v>
      </c>
      <c r="G180">
        <f>1</f>
        <v>1</v>
      </c>
      <c r="H180" s="1">
        <f t="shared" si="17"/>
        <v>9.674070169574243</v>
      </c>
      <c r="I180" s="1">
        <f t="shared" si="18"/>
        <v>0</v>
      </c>
      <c r="J180" s="1">
        <f t="shared" si="19"/>
        <v>0</v>
      </c>
      <c r="K180" s="1">
        <f t="shared" si="20"/>
        <v>9.674070169574243</v>
      </c>
      <c r="L180" s="1">
        <f t="shared" si="21"/>
        <v>1362908.3999238145</v>
      </c>
      <c r="M180" s="1">
        <f t="shared" si="22"/>
        <v>-1580973.7439116249</v>
      </c>
    </row>
    <row r="181" spans="1:13" x14ac:dyDescent="0.25">
      <c r="A181">
        <f t="shared" si="23"/>
        <v>195</v>
      </c>
      <c r="B181" s="1">
        <f>A181/7.5</f>
        <v>26</v>
      </c>
      <c r="C181">
        <v>0.7</v>
      </c>
      <c r="D181">
        <v>1</v>
      </c>
      <c r="E181" s="1">
        <f t="shared" si="16"/>
        <v>1.1599999999999999</v>
      </c>
      <c r="F181">
        <v>1</v>
      </c>
      <c r="G181">
        <f>1</f>
        <v>1</v>
      </c>
      <c r="H181" s="1">
        <f t="shared" si="17"/>
        <v>9.674070169574243</v>
      </c>
      <c r="I181" s="1">
        <f t="shared" si="18"/>
        <v>0</v>
      </c>
      <c r="J181" s="1">
        <f t="shared" si="19"/>
        <v>0</v>
      </c>
      <c r="K181" s="1">
        <f t="shared" si="20"/>
        <v>9.674070169574243</v>
      </c>
      <c r="L181" s="1">
        <f t="shared" si="21"/>
        <v>1272047.8399288934</v>
      </c>
      <c r="M181" s="1">
        <f t="shared" si="22"/>
        <v>-1475575.4943175165</v>
      </c>
    </row>
    <row r="182" spans="1:13" x14ac:dyDescent="0.25">
      <c r="A182">
        <f t="shared" si="23"/>
        <v>195</v>
      </c>
      <c r="B182" s="1">
        <f>A182/5</f>
        <v>39</v>
      </c>
      <c r="C182">
        <v>0.8</v>
      </c>
      <c r="D182">
        <v>1</v>
      </c>
      <c r="E182" s="1">
        <f t="shared" si="16"/>
        <v>1.0874999999999997</v>
      </c>
      <c r="F182">
        <v>1</v>
      </c>
      <c r="G182">
        <f>1</f>
        <v>1</v>
      </c>
      <c r="H182" s="1">
        <f t="shared" si="17"/>
        <v>9.674070169574243</v>
      </c>
      <c r="I182" s="1">
        <f t="shared" si="18"/>
        <v>0</v>
      </c>
      <c r="J182" s="1">
        <f t="shared" si="19"/>
        <v>0</v>
      </c>
      <c r="K182" s="1">
        <f t="shared" si="20"/>
        <v>9.674070169574243</v>
      </c>
      <c r="L182" s="1">
        <f t="shared" si="21"/>
        <v>2180653.4398781033</v>
      </c>
      <c r="M182" s="1">
        <f t="shared" si="22"/>
        <v>-2371460.6158674369</v>
      </c>
    </row>
    <row r="183" spans="1:13" x14ac:dyDescent="0.25">
      <c r="A183">
        <f t="shared" si="23"/>
        <v>195</v>
      </c>
      <c r="B183" s="1">
        <f>A183/5.5</f>
        <v>35.454545454545453</v>
      </c>
      <c r="C183">
        <v>0.8</v>
      </c>
      <c r="D183">
        <v>1</v>
      </c>
      <c r="E183" s="1">
        <f t="shared" si="16"/>
        <v>1.0874999999999997</v>
      </c>
      <c r="F183">
        <v>1</v>
      </c>
      <c r="G183">
        <f>1</f>
        <v>1</v>
      </c>
      <c r="H183" s="1">
        <f t="shared" si="17"/>
        <v>9.674070169574243</v>
      </c>
      <c r="I183" s="1">
        <f t="shared" si="18"/>
        <v>0</v>
      </c>
      <c r="J183" s="1">
        <f t="shared" si="19"/>
        <v>0</v>
      </c>
      <c r="K183" s="1">
        <f t="shared" si="20"/>
        <v>9.674070169574243</v>
      </c>
      <c r="L183" s="1">
        <f t="shared" si="21"/>
        <v>1982412.218071003</v>
      </c>
      <c r="M183" s="1">
        <f t="shared" si="22"/>
        <v>-2155873.2871522154</v>
      </c>
    </row>
    <row r="184" spans="1:13" x14ac:dyDescent="0.25">
      <c r="A184">
        <f t="shared" si="23"/>
        <v>195</v>
      </c>
      <c r="B184" s="1">
        <f>A184/6</f>
        <v>32.5</v>
      </c>
      <c r="C184">
        <v>0.8</v>
      </c>
      <c r="D184">
        <v>1</v>
      </c>
      <c r="E184" s="1">
        <f t="shared" si="16"/>
        <v>1.0874999999999997</v>
      </c>
      <c r="F184">
        <v>1</v>
      </c>
      <c r="G184">
        <f>1</f>
        <v>1</v>
      </c>
      <c r="H184" s="1">
        <f t="shared" si="17"/>
        <v>9.674070169574243</v>
      </c>
      <c r="I184" s="1">
        <f t="shared" si="18"/>
        <v>0</v>
      </c>
      <c r="J184" s="1">
        <f t="shared" si="19"/>
        <v>0</v>
      </c>
      <c r="K184" s="1">
        <f t="shared" si="20"/>
        <v>9.674070169574243</v>
      </c>
      <c r="L184" s="1">
        <f t="shared" si="21"/>
        <v>1817211.1998984192</v>
      </c>
      <c r="M184" s="1">
        <f t="shared" si="22"/>
        <v>-1976217.1798895304</v>
      </c>
    </row>
    <row r="185" spans="1:13" x14ac:dyDescent="0.25">
      <c r="A185">
        <f t="shared" si="23"/>
        <v>195</v>
      </c>
      <c r="B185" s="1">
        <f>A185/6.5</f>
        <v>30</v>
      </c>
      <c r="C185">
        <v>0.8</v>
      </c>
      <c r="D185">
        <v>1</v>
      </c>
      <c r="E185" s="1">
        <f t="shared" si="16"/>
        <v>1.0874999999999997</v>
      </c>
      <c r="F185">
        <v>1</v>
      </c>
      <c r="G185">
        <f>1</f>
        <v>1</v>
      </c>
      <c r="H185" s="1">
        <f t="shared" si="17"/>
        <v>9.674070169574243</v>
      </c>
      <c r="I185" s="1">
        <f t="shared" si="18"/>
        <v>0</v>
      </c>
      <c r="J185" s="1">
        <f t="shared" si="19"/>
        <v>0</v>
      </c>
      <c r="K185" s="1">
        <f t="shared" si="20"/>
        <v>9.674070169574243</v>
      </c>
      <c r="L185" s="1">
        <f t="shared" si="21"/>
        <v>1677425.7229831563</v>
      </c>
      <c r="M185" s="1">
        <f t="shared" si="22"/>
        <v>-1824200.4737441819</v>
      </c>
    </row>
    <row r="186" spans="1:13" x14ac:dyDescent="0.25">
      <c r="A186">
        <f t="shared" si="23"/>
        <v>195</v>
      </c>
      <c r="B186" s="1">
        <f>A186/7</f>
        <v>27.857142857142858</v>
      </c>
      <c r="C186">
        <v>0.8</v>
      </c>
      <c r="D186">
        <v>1</v>
      </c>
      <c r="E186" s="1">
        <f t="shared" si="16"/>
        <v>1.0874999999999997</v>
      </c>
      <c r="F186">
        <v>1</v>
      </c>
      <c r="G186">
        <f>1</f>
        <v>1</v>
      </c>
      <c r="H186" s="1">
        <f t="shared" si="17"/>
        <v>9.674070169574243</v>
      </c>
      <c r="I186" s="1">
        <f t="shared" si="18"/>
        <v>0</v>
      </c>
      <c r="J186" s="1">
        <f t="shared" si="19"/>
        <v>0</v>
      </c>
      <c r="K186" s="1">
        <f t="shared" si="20"/>
        <v>9.674070169574243</v>
      </c>
      <c r="L186" s="1">
        <f t="shared" si="21"/>
        <v>1557609.599912931</v>
      </c>
      <c r="M186" s="1">
        <f t="shared" si="22"/>
        <v>-1693900.4399053119</v>
      </c>
    </row>
    <row r="187" spans="1:13" x14ac:dyDescent="0.25">
      <c r="A187">
        <f t="shared" si="23"/>
        <v>195</v>
      </c>
      <c r="B187" s="1">
        <f>A187/7.5</f>
        <v>26</v>
      </c>
      <c r="C187">
        <v>0.8</v>
      </c>
      <c r="D187">
        <v>1</v>
      </c>
      <c r="E187" s="1">
        <f t="shared" si="16"/>
        <v>1.0874999999999997</v>
      </c>
      <c r="F187">
        <v>1</v>
      </c>
      <c r="G187">
        <f>1</f>
        <v>1</v>
      </c>
      <c r="H187" s="1">
        <f t="shared" si="17"/>
        <v>9.674070169574243</v>
      </c>
      <c r="I187" s="1">
        <f t="shared" si="18"/>
        <v>0</v>
      </c>
      <c r="J187" s="1">
        <f t="shared" si="19"/>
        <v>0</v>
      </c>
      <c r="K187" s="1">
        <f t="shared" si="20"/>
        <v>9.674070169574243</v>
      </c>
      <c r="L187" s="1">
        <f t="shared" si="21"/>
        <v>1453768.9599187355</v>
      </c>
      <c r="M187" s="1">
        <f t="shared" si="22"/>
        <v>-1580973.7439116244</v>
      </c>
    </row>
    <row r="188" spans="1:13" x14ac:dyDescent="0.25">
      <c r="A188">
        <f t="shared" si="23"/>
        <v>195</v>
      </c>
      <c r="B188" s="1">
        <f>A188/5</f>
        <v>39</v>
      </c>
      <c r="C188">
        <v>0.9</v>
      </c>
      <c r="D188">
        <v>1</v>
      </c>
      <c r="E188" s="1">
        <f t="shared" si="16"/>
        <v>1.0311111111111111</v>
      </c>
      <c r="F188">
        <v>1</v>
      </c>
      <c r="G188">
        <f>1</f>
        <v>1</v>
      </c>
      <c r="H188" s="1">
        <f t="shared" si="17"/>
        <v>9.674070169574243</v>
      </c>
      <c r="I188" s="1">
        <f t="shared" si="18"/>
        <v>0</v>
      </c>
      <c r="J188" s="1">
        <f t="shared" si="19"/>
        <v>0</v>
      </c>
      <c r="K188" s="1">
        <f t="shared" si="20"/>
        <v>9.674070169574243</v>
      </c>
      <c r="L188" s="1">
        <f t="shared" si="21"/>
        <v>2453235.1198628661</v>
      </c>
      <c r="M188" s="1">
        <f t="shared" si="22"/>
        <v>-2529557.9902586001</v>
      </c>
    </row>
    <row r="189" spans="1:13" x14ac:dyDescent="0.25">
      <c r="A189">
        <f t="shared" si="23"/>
        <v>195</v>
      </c>
      <c r="B189" s="1">
        <f>A189/5.5</f>
        <v>35.454545454545453</v>
      </c>
      <c r="C189">
        <v>0.9</v>
      </c>
      <c r="D189">
        <v>1</v>
      </c>
      <c r="E189" s="1">
        <f t="shared" si="16"/>
        <v>1.0311111111111111</v>
      </c>
      <c r="F189">
        <v>1</v>
      </c>
      <c r="G189">
        <f>1</f>
        <v>1</v>
      </c>
      <c r="H189" s="1">
        <f t="shared" si="17"/>
        <v>9.674070169574243</v>
      </c>
      <c r="I189" s="1">
        <f t="shared" si="18"/>
        <v>0</v>
      </c>
      <c r="J189" s="1">
        <f t="shared" si="19"/>
        <v>0</v>
      </c>
      <c r="K189" s="1">
        <f t="shared" si="20"/>
        <v>9.674070169574243</v>
      </c>
      <c r="L189" s="1">
        <f t="shared" si="21"/>
        <v>2230213.7453298783</v>
      </c>
      <c r="M189" s="1">
        <f t="shared" si="22"/>
        <v>-2299598.1729623638</v>
      </c>
    </row>
    <row r="190" spans="1:13" x14ac:dyDescent="0.25">
      <c r="A190">
        <f t="shared" si="23"/>
        <v>195</v>
      </c>
      <c r="B190" s="1">
        <f>A190/6</f>
        <v>32.5</v>
      </c>
      <c r="C190">
        <v>0.9</v>
      </c>
      <c r="D190">
        <v>1</v>
      </c>
      <c r="E190" s="1">
        <f t="shared" si="16"/>
        <v>1.0311111111111111</v>
      </c>
      <c r="F190">
        <v>1</v>
      </c>
      <c r="G190">
        <f>1</f>
        <v>1</v>
      </c>
      <c r="H190" s="1">
        <f t="shared" si="17"/>
        <v>9.674070169574243</v>
      </c>
      <c r="I190" s="1">
        <f t="shared" si="18"/>
        <v>0</v>
      </c>
      <c r="J190" s="1">
        <f t="shared" si="19"/>
        <v>0</v>
      </c>
      <c r="K190" s="1">
        <f t="shared" si="20"/>
        <v>9.674070169574243</v>
      </c>
      <c r="L190" s="1">
        <f t="shared" si="21"/>
        <v>2044362.5998857217</v>
      </c>
      <c r="M190" s="1">
        <f t="shared" si="22"/>
        <v>-2107964.9918821668</v>
      </c>
    </row>
    <row r="191" spans="1:13" x14ac:dyDescent="0.25">
      <c r="A191">
        <f t="shared" si="23"/>
        <v>195</v>
      </c>
      <c r="B191" s="1">
        <f>A191/6.5</f>
        <v>30</v>
      </c>
      <c r="C191">
        <v>0.9</v>
      </c>
      <c r="D191">
        <v>1</v>
      </c>
      <c r="E191" s="1">
        <f t="shared" si="16"/>
        <v>1.0311111111111111</v>
      </c>
      <c r="F191">
        <v>1</v>
      </c>
      <c r="G191">
        <f>1</f>
        <v>1</v>
      </c>
      <c r="H191" s="1">
        <f t="shared" si="17"/>
        <v>9.674070169574243</v>
      </c>
      <c r="I191" s="1">
        <f t="shared" si="18"/>
        <v>0</v>
      </c>
      <c r="J191" s="1">
        <f t="shared" si="19"/>
        <v>0</v>
      </c>
      <c r="K191" s="1">
        <f t="shared" si="20"/>
        <v>9.674070169574243</v>
      </c>
      <c r="L191" s="1">
        <f t="shared" si="21"/>
        <v>1887103.9383560508</v>
      </c>
      <c r="M191" s="1">
        <f t="shared" si="22"/>
        <v>-1945813.8386604616</v>
      </c>
    </row>
    <row r="192" spans="1:13" x14ac:dyDescent="0.25">
      <c r="A192">
        <f t="shared" si="23"/>
        <v>195</v>
      </c>
      <c r="B192" s="1">
        <f>A192/7</f>
        <v>27.857142857142858</v>
      </c>
      <c r="C192">
        <v>0.9</v>
      </c>
      <c r="D192">
        <v>1</v>
      </c>
      <c r="E192" s="1">
        <f t="shared" si="16"/>
        <v>1.0311111111111111</v>
      </c>
      <c r="F192">
        <v>1</v>
      </c>
      <c r="G192">
        <f>1</f>
        <v>1</v>
      </c>
      <c r="H192" s="1">
        <f t="shared" si="17"/>
        <v>9.674070169574243</v>
      </c>
      <c r="I192" s="1">
        <f t="shared" si="18"/>
        <v>0</v>
      </c>
      <c r="J192" s="1">
        <f t="shared" si="19"/>
        <v>0</v>
      </c>
      <c r="K192" s="1">
        <f t="shared" si="20"/>
        <v>9.674070169574243</v>
      </c>
      <c r="L192" s="1">
        <f t="shared" si="21"/>
        <v>1752310.7999020473</v>
      </c>
      <c r="M192" s="1">
        <f t="shared" si="22"/>
        <v>-1806827.1358990001</v>
      </c>
    </row>
    <row r="193" spans="1:13" x14ac:dyDescent="0.25">
      <c r="A193">
        <f t="shared" si="23"/>
        <v>195</v>
      </c>
      <c r="B193" s="1">
        <f>A193/7.5</f>
        <v>26</v>
      </c>
      <c r="C193">
        <v>0.9</v>
      </c>
      <c r="D193">
        <v>1</v>
      </c>
      <c r="E193" s="1">
        <f t="shared" si="16"/>
        <v>1.0311111111111111</v>
      </c>
      <c r="F193">
        <v>1</v>
      </c>
      <c r="G193">
        <f>1</f>
        <v>1</v>
      </c>
      <c r="H193" s="1">
        <f t="shared" si="17"/>
        <v>9.674070169574243</v>
      </c>
      <c r="I193" s="1">
        <f t="shared" si="18"/>
        <v>0</v>
      </c>
      <c r="J193" s="1">
        <f t="shared" si="19"/>
        <v>0</v>
      </c>
      <c r="K193" s="1">
        <f t="shared" si="20"/>
        <v>9.674070169574243</v>
      </c>
      <c r="L193" s="1">
        <f t="shared" si="21"/>
        <v>1635490.0799085773</v>
      </c>
      <c r="M193" s="1">
        <f t="shared" si="22"/>
        <v>-1686371.9935057333</v>
      </c>
    </row>
    <row r="194" spans="1:13" x14ac:dyDescent="0.25">
      <c r="A194">
        <f t="shared" si="23"/>
        <v>210</v>
      </c>
      <c r="B194" s="1">
        <f>A194/5</f>
        <v>42</v>
      </c>
      <c r="C194">
        <v>0.6</v>
      </c>
      <c r="D194">
        <v>1</v>
      </c>
      <c r="E194" s="1">
        <f t="shared" si="16"/>
        <v>1.2566666666666666</v>
      </c>
      <c r="F194">
        <v>1</v>
      </c>
      <c r="G194">
        <f>1</f>
        <v>1</v>
      </c>
      <c r="H194" s="1">
        <f t="shared" si="17"/>
        <v>9.8961850317545377</v>
      </c>
      <c r="I194" s="1">
        <f t="shared" si="18"/>
        <v>0</v>
      </c>
      <c r="J194" s="1">
        <f t="shared" si="19"/>
        <v>0</v>
      </c>
      <c r="K194" s="1">
        <f t="shared" si="20"/>
        <v>9.8961850317545377</v>
      </c>
      <c r="L194" s="1">
        <f t="shared" si="21"/>
        <v>2089587.386402996</v>
      </c>
      <c r="M194" s="1">
        <f t="shared" si="22"/>
        <v>-2625914.8155797655</v>
      </c>
    </row>
    <row r="195" spans="1:13" x14ac:dyDescent="0.25">
      <c r="A195">
        <f t="shared" si="23"/>
        <v>210</v>
      </c>
      <c r="B195" s="1">
        <f>A195/5.5</f>
        <v>38.18181818181818</v>
      </c>
      <c r="C195">
        <v>0.6</v>
      </c>
      <c r="D195">
        <v>1</v>
      </c>
      <c r="E195" s="1">
        <f t="shared" ref="E195:E258" si="24">0.58*(C195+0.7)/C195</f>
        <v>1.2566666666666666</v>
      </c>
      <c r="F195">
        <v>1</v>
      </c>
      <c r="G195">
        <f>1</f>
        <v>1</v>
      </c>
      <c r="H195" s="1">
        <f t="shared" ref="H195:H258" si="25">IF(AND(A195&gt;=90,A195&lt;300),10.75-POWER((300-A195)/100,1.5),0)</f>
        <v>9.8961850317545377</v>
      </c>
      <c r="I195" s="1">
        <f t="shared" ref="I195:I258" si="26">IF(AND(A195&gt;=300,A195&lt;350),10.75,0)</f>
        <v>0</v>
      </c>
      <c r="J195" s="1">
        <f t="shared" ref="J195:J258" si="27">IF(A195&gt;=350,10.75-POWER((A195-350)/150,1.5),0)</f>
        <v>0</v>
      </c>
      <c r="K195" s="1">
        <f t="shared" ref="K195:K258" si="28">SUM(H195:J195)</f>
        <v>9.8961850317545377</v>
      </c>
      <c r="L195" s="1">
        <f t="shared" ref="L195:L258" si="29">0.19*D195*F195*G195*K195*A195*A195*B195*C195</f>
        <v>1899624.8967299962</v>
      </c>
      <c r="M195" s="1">
        <f t="shared" ref="M195:M258" si="30">-0.19*E195*F195*G195*K195*A195*A195*B195*C195</f>
        <v>-2387195.2868906953</v>
      </c>
    </row>
    <row r="196" spans="1:13" x14ac:dyDescent="0.25">
      <c r="A196">
        <f t="shared" si="23"/>
        <v>210</v>
      </c>
      <c r="B196" s="1">
        <f>A196/6</f>
        <v>35</v>
      </c>
      <c r="C196">
        <v>0.6</v>
      </c>
      <c r="D196">
        <v>1</v>
      </c>
      <c r="E196" s="1">
        <f t="shared" si="24"/>
        <v>1.2566666666666666</v>
      </c>
      <c r="F196">
        <v>1</v>
      </c>
      <c r="G196">
        <f>1</f>
        <v>1</v>
      </c>
      <c r="H196" s="1">
        <f t="shared" si="25"/>
        <v>9.8961850317545377</v>
      </c>
      <c r="I196" s="1">
        <f t="shared" si="26"/>
        <v>0</v>
      </c>
      <c r="J196" s="1">
        <f t="shared" si="27"/>
        <v>0</v>
      </c>
      <c r="K196" s="1">
        <f t="shared" si="28"/>
        <v>9.8961850317545377</v>
      </c>
      <c r="L196" s="1">
        <f t="shared" si="29"/>
        <v>1741322.8220024966</v>
      </c>
      <c r="M196" s="1">
        <f t="shared" si="30"/>
        <v>-2188262.3463164712</v>
      </c>
    </row>
    <row r="197" spans="1:13" x14ac:dyDescent="0.25">
      <c r="A197">
        <f t="shared" si="23"/>
        <v>210</v>
      </c>
      <c r="B197" s="1">
        <f>A197/6.5</f>
        <v>32.307692307692307</v>
      </c>
      <c r="C197">
        <v>0.6</v>
      </c>
      <c r="D197">
        <v>1</v>
      </c>
      <c r="E197" s="1">
        <f t="shared" si="24"/>
        <v>1.2566666666666666</v>
      </c>
      <c r="F197">
        <v>1</v>
      </c>
      <c r="G197">
        <f>1</f>
        <v>1</v>
      </c>
      <c r="H197" s="1">
        <f t="shared" si="25"/>
        <v>9.8961850317545377</v>
      </c>
      <c r="I197" s="1">
        <f t="shared" si="26"/>
        <v>0</v>
      </c>
      <c r="J197" s="1">
        <f t="shared" si="27"/>
        <v>0</v>
      </c>
      <c r="K197" s="1">
        <f t="shared" si="28"/>
        <v>9.8961850317545377</v>
      </c>
      <c r="L197" s="1">
        <f t="shared" si="29"/>
        <v>1607374.9126176892</v>
      </c>
      <c r="M197" s="1">
        <f t="shared" si="30"/>
        <v>-2019934.4735228964</v>
      </c>
    </row>
    <row r="198" spans="1:13" x14ac:dyDescent="0.25">
      <c r="A198">
        <f t="shared" si="23"/>
        <v>210</v>
      </c>
      <c r="B198" s="1">
        <f>A198/7</f>
        <v>30</v>
      </c>
      <c r="C198">
        <v>0.6</v>
      </c>
      <c r="D198">
        <v>1</v>
      </c>
      <c r="E198" s="1">
        <f t="shared" si="24"/>
        <v>1.2566666666666666</v>
      </c>
      <c r="F198">
        <v>1</v>
      </c>
      <c r="G198">
        <f>1</f>
        <v>1</v>
      </c>
      <c r="H198" s="1">
        <f t="shared" si="25"/>
        <v>9.8961850317545377</v>
      </c>
      <c r="I198" s="1">
        <f t="shared" si="26"/>
        <v>0</v>
      </c>
      <c r="J198" s="1">
        <f t="shared" si="27"/>
        <v>0</v>
      </c>
      <c r="K198" s="1">
        <f t="shared" si="28"/>
        <v>9.8961850317545377</v>
      </c>
      <c r="L198" s="1">
        <f t="shared" si="29"/>
        <v>1492562.418859283</v>
      </c>
      <c r="M198" s="1">
        <f t="shared" si="30"/>
        <v>-1875653.4396998324</v>
      </c>
    </row>
    <row r="199" spans="1:13" x14ac:dyDescent="0.25">
      <c r="A199">
        <f t="shared" si="23"/>
        <v>210</v>
      </c>
      <c r="B199" s="1">
        <f>A199/7.5</f>
        <v>28</v>
      </c>
      <c r="C199">
        <v>0.6</v>
      </c>
      <c r="D199">
        <v>1</v>
      </c>
      <c r="E199" s="1">
        <f t="shared" si="24"/>
        <v>1.2566666666666666</v>
      </c>
      <c r="F199">
        <v>1</v>
      </c>
      <c r="G199">
        <f>1</f>
        <v>1</v>
      </c>
      <c r="H199" s="1">
        <f t="shared" si="25"/>
        <v>9.8961850317545377</v>
      </c>
      <c r="I199" s="1">
        <f t="shared" si="26"/>
        <v>0</v>
      </c>
      <c r="J199" s="1">
        <f t="shared" si="27"/>
        <v>0</v>
      </c>
      <c r="K199" s="1">
        <f t="shared" si="28"/>
        <v>9.8961850317545377</v>
      </c>
      <c r="L199" s="1">
        <f t="shared" si="29"/>
        <v>1393058.2576019971</v>
      </c>
      <c r="M199" s="1">
        <f t="shared" si="30"/>
        <v>-1750609.8770531768</v>
      </c>
    </row>
    <row r="200" spans="1:13" x14ac:dyDescent="0.25">
      <c r="A200">
        <f t="shared" si="23"/>
        <v>210</v>
      </c>
      <c r="B200" s="1">
        <f>A200/5</f>
        <v>42</v>
      </c>
      <c r="C200">
        <v>0.7</v>
      </c>
      <c r="D200">
        <v>1</v>
      </c>
      <c r="E200" s="1">
        <f t="shared" si="24"/>
        <v>1.1599999999999999</v>
      </c>
      <c r="F200">
        <v>1</v>
      </c>
      <c r="G200">
        <f>1</f>
        <v>1</v>
      </c>
      <c r="H200" s="1">
        <f t="shared" si="25"/>
        <v>9.8961850317545377</v>
      </c>
      <c r="I200" s="1">
        <f t="shared" si="26"/>
        <v>0</v>
      </c>
      <c r="J200" s="1">
        <f t="shared" si="27"/>
        <v>0</v>
      </c>
      <c r="K200" s="1">
        <f t="shared" si="28"/>
        <v>9.8961850317545377</v>
      </c>
      <c r="L200" s="1">
        <f t="shared" si="29"/>
        <v>2437851.9508034955</v>
      </c>
      <c r="M200" s="1">
        <f t="shared" si="30"/>
        <v>-2827908.2629320538</v>
      </c>
    </row>
    <row r="201" spans="1:13" x14ac:dyDescent="0.25">
      <c r="A201">
        <f t="shared" si="23"/>
        <v>210</v>
      </c>
      <c r="B201" s="1">
        <f>A201/5.5</f>
        <v>38.18181818181818</v>
      </c>
      <c r="C201">
        <v>0.7</v>
      </c>
      <c r="D201">
        <v>1</v>
      </c>
      <c r="E201" s="1">
        <f t="shared" si="24"/>
        <v>1.1599999999999999</v>
      </c>
      <c r="F201">
        <v>1</v>
      </c>
      <c r="G201">
        <f>1</f>
        <v>1</v>
      </c>
      <c r="H201" s="1">
        <f t="shared" si="25"/>
        <v>9.8961850317545377</v>
      </c>
      <c r="I201" s="1">
        <f t="shared" si="26"/>
        <v>0</v>
      </c>
      <c r="J201" s="1">
        <f t="shared" si="27"/>
        <v>0</v>
      </c>
      <c r="K201" s="1">
        <f t="shared" si="28"/>
        <v>9.8961850317545377</v>
      </c>
      <c r="L201" s="1">
        <f t="shared" si="29"/>
        <v>2216229.0461849957</v>
      </c>
      <c r="M201" s="1">
        <f t="shared" si="30"/>
        <v>-2570825.6935745943</v>
      </c>
    </row>
    <row r="202" spans="1:13" x14ac:dyDescent="0.25">
      <c r="A202">
        <f t="shared" si="23"/>
        <v>210</v>
      </c>
      <c r="B202" s="1">
        <f>A202/6</f>
        <v>35</v>
      </c>
      <c r="C202">
        <v>0.7</v>
      </c>
      <c r="D202">
        <v>1</v>
      </c>
      <c r="E202" s="1">
        <f t="shared" si="24"/>
        <v>1.1599999999999999</v>
      </c>
      <c r="F202">
        <v>1</v>
      </c>
      <c r="G202">
        <f>1</f>
        <v>1</v>
      </c>
      <c r="H202" s="1">
        <f t="shared" si="25"/>
        <v>9.8961850317545377</v>
      </c>
      <c r="I202" s="1">
        <f t="shared" si="26"/>
        <v>0</v>
      </c>
      <c r="J202" s="1">
        <f t="shared" si="27"/>
        <v>0</v>
      </c>
      <c r="K202" s="1">
        <f t="shared" si="28"/>
        <v>9.8961850317545377</v>
      </c>
      <c r="L202" s="1">
        <f t="shared" si="29"/>
        <v>2031543.2923362458</v>
      </c>
      <c r="M202" s="1">
        <f t="shared" si="30"/>
        <v>-2356590.2191100451</v>
      </c>
    </row>
    <row r="203" spans="1:13" x14ac:dyDescent="0.25">
      <c r="A203">
        <f t="shared" si="23"/>
        <v>210</v>
      </c>
      <c r="B203" s="1">
        <f>A203/6.5</f>
        <v>32.307692307692307</v>
      </c>
      <c r="C203">
        <v>0.7</v>
      </c>
      <c r="D203">
        <v>1</v>
      </c>
      <c r="E203" s="1">
        <f t="shared" si="24"/>
        <v>1.1599999999999999</v>
      </c>
      <c r="F203">
        <v>1</v>
      </c>
      <c r="G203">
        <f>1</f>
        <v>1</v>
      </c>
      <c r="H203" s="1">
        <f t="shared" si="25"/>
        <v>9.8961850317545377</v>
      </c>
      <c r="I203" s="1">
        <f t="shared" si="26"/>
        <v>0</v>
      </c>
      <c r="J203" s="1">
        <f t="shared" si="27"/>
        <v>0</v>
      </c>
      <c r="K203" s="1">
        <f t="shared" si="28"/>
        <v>9.8961850317545377</v>
      </c>
      <c r="L203" s="1">
        <f t="shared" si="29"/>
        <v>1875270.7313873039</v>
      </c>
      <c r="M203" s="1">
        <f t="shared" si="30"/>
        <v>-2175314.0484092725</v>
      </c>
    </row>
    <row r="204" spans="1:13" x14ac:dyDescent="0.25">
      <c r="A204">
        <f t="shared" si="23"/>
        <v>210</v>
      </c>
      <c r="B204" s="1">
        <f>A204/7</f>
        <v>30</v>
      </c>
      <c r="C204">
        <v>0.7</v>
      </c>
      <c r="D204">
        <v>1</v>
      </c>
      <c r="E204" s="1">
        <f t="shared" si="24"/>
        <v>1.1599999999999999</v>
      </c>
      <c r="F204">
        <v>1</v>
      </c>
      <c r="G204">
        <f>1</f>
        <v>1</v>
      </c>
      <c r="H204" s="1">
        <f t="shared" si="25"/>
        <v>9.8961850317545377</v>
      </c>
      <c r="I204" s="1">
        <f t="shared" si="26"/>
        <v>0</v>
      </c>
      <c r="J204" s="1">
        <f t="shared" si="27"/>
        <v>0</v>
      </c>
      <c r="K204" s="1">
        <f t="shared" si="28"/>
        <v>9.8961850317545377</v>
      </c>
      <c r="L204" s="1">
        <f t="shared" si="29"/>
        <v>1741322.8220024968</v>
      </c>
      <c r="M204" s="1">
        <f t="shared" si="30"/>
        <v>-2019934.4735228957</v>
      </c>
    </row>
    <row r="205" spans="1:13" x14ac:dyDescent="0.25">
      <c r="A205">
        <f t="shared" si="23"/>
        <v>210</v>
      </c>
      <c r="B205" s="1">
        <f>A205/7.5</f>
        <v>28</v>
      </c>
      <c r="C205">
        <v>0.7</v>
      </c>
      <c r="D205">
        <v>1</v>
      </c>
      <c r="E205" s="1">
        <f t="shared" si="24"/>
        <v>1.1599999999999999</v>
      </c>
      <c r="F205">
        <v>1</v>
      </c>
      <c r="G205">
        <f>1</f>
        <v>1</v>
      </c>
      <c r="H205" s="1">
        <f t="shared" si="25"/>
        <v>9.8961850317545377</v>
      </c>
      <c r="I205" s="1">
        <f t="shared" si="26"/>
        <v>0</v>
      </c>
      <c r="J205" s="1">
        <f t="shared" si="27"/>
        <v>0</v>
      </c>
      <c r="K205" s="1">
        <f t="shared" si="28"/>
        <v>9.8961850317545377</v>
      </c>
      <c r="L205" s="1">
        <f t="shared" si="29"/>
        <v>1625234.6338689968</v>
      </c>
      <c r="M205" s="1">
        <f t="shared" si="30"/>
        <v>-1885272.1752880358</v>
      </c>
    </row>
    <row r="206" spans="1:13" x14ac:dyDescent="0.25">
      <c r="A206">
        <f t="shared" si="23"/>
        <v>210</v>
      </c>
      <c r="B206" s="1">
        <f>A206/5</f>
        <v>42</v>
      </c>
      <c r="C206">
        <v>0.8</v>
      </c>
      <c r="D206">
        <v>1</v>
      </c>
      <c r="E206" s="1">
        <f t="shared" si="24"/>
        <v>1.0874999999999997</v>
      </c>
      <c r="F206">
        <v>1</v>
      </c>
      <c r="G206">
        <f>1</f>
        <v>1</v>
      </c>
      <c r="H206" s="1">
        <f t="shared" si="25"/>
        <v>9.8961850317545377</v>
      </c>
      <c r="I206" s="1">
        <f t="shared" si="26"/>
        <v>0</v>
      </c>
      <c r="J206" s="1">
        <f t="shared" si="27"/>
        <v>0</v>
      </c>
      <c r="K206" s="1">
        <f t="shared" si="28"/>
        <v>9.8961850317545377</v>
      </c>
      <c r="L206" s="1">
        <f t="shared" si="29"/>
        <v>2786116.5152039952</v>
      </c>
      <c r="M206" s="1">
        <f t="shared" si="30"/>
        <v>-3029901.7102843435</v>
      </c>
    </row>
    <row r="207" spans="1:13" x14ac:dyDescent="0.25">
      <c r="A207">
        <f t="shared" si="23"/>
        <v>210</v>
      </c>
      <c r="B207" s="1">
        <f>A207/5.5</f>
        <v>38.18181818181818</v>
      </c>
      <c r="C207">
        <v>0.8</v>
      </c>
      <c r="D207">
        <v>1</v>
      </c>
      <c r="E207" s="1">
        <f t="shared" si="24"/>
        <v>1.0874999999999997</v>
      </c>
      <c r="F207">
        <v>1</v>
      </c>
      <c r="G207">
        <f>1</f>
        <v>1</v>
      </c>
      <c r="H207" s="1">
        <f t="shared" si="25"/>
        <v>9.8961850317545377</v>
      </c>
      <c r="I207" s="1">
        <f t="shared" si="26"/>
        <v>0</v>
      </c>
      <c r="J207" s="1">
        <f t="shared" si="27"/>
        <v>0</v>
      </c>
      <c r="K207" s="1">
        <f t="shared" si="28"/>
        <v>9.8961850317545377</v>
      </c>
      <c r="L207" s="1">
        <f t="shared" si="29"/>
        <v>2532833.1956399954</v>
      </c>
      <c r="M207" s="1">
        <f t="shared" si="30"/>
        <v>-2754456.1002584938</v>
      </c>
    </row>
    <row r="208" spans="1:13" x14ac:dyDescent="0.25">
      <c r="A208">
        <f t="shared" si="23"/>
        <v>210</v>
      </c>
      <c r="B208" s="1">
        <f>A208/6</f>
        <v>35</v>
      </c>
      <c r="C208">
        <v>0.8</v>
      </c>
      <c r="D208">
        <v>1</v>
      </c>
      <c r="E208" s="1">
        <f t="shared" si="24"/>
        <v>1.0874999999999997</v>
      </c>
      <c r="F208">
        <v>1</v>
      </c>
      <c r="G208">
        <f>1</f>
        <v>1</v>
      </c>
      <c r="H208" s="1">
        <f t="shared" si="25"/>
        <v>9.8961850317545377</v>
      </c>
      <c r="I208" s="1">
        <f t="shared" si="26"/>
        <v>0</v>
      </c>
      <c r="J208" s="1">
        <f t="shared" si="27"/>
        <v>0</v>
      </c>
      <c r="K208" s="1">
        <f t="shared" si="28"/>
        <v>9.8961850317545377</v>
      </c>
      <c r="L208" s="1">
        <f t="shared" si="29"/>
        <v>2321763.7626699954</v>
      </c>
      <c r="M208" s="1">
        <f t="shared" si="30"/>
        <v>-2524918.0919036195</v>
      </c>
    </row>
    <row r="209" spans="1:13" x14ac:dyDescent="0.25">
      <c r="A209">
        <f t="shared" si="23"/>
        <v>210</v>
      </c>
      <c r="B209" s="1">
        <f>A209/6.5</f>
        <v>32.307692307692307</v>
      </c>
      <c r="C209">
        <v>0.8</v>
      </c>
      <c r="D209">
        <v>1</v>
      </c>
      <c r="E209" s="1">
        <f t="shared" si="24"/>
        <v>1.0874999999999997</v>
      </c>
      <c r="F209">
        <v>1</v>
      </c>
      <c r="G209">
        <f>1</f>
        <v>1</v>
      </c>
      <c r="H209" s="1">
        <f t="shared" si="25"/>
        <v>9.8961850317545377</v>
      </c>
      <c r="I209" s="1">
        <f t="shared" si="26"/>
        <v>0</v>
      </c>
      <c r="J209" s="1">
        <f t="shared" si="27"/>
        <v>0</v>
      </c>
      <c r="K209" s="1">
        <f t="shared" si="28"/>
        <v>9.8961850317545377</v>
      </c>
      <c r="L209" s="1">
        <f t="shared" si="29"/>
        <v>2143166.5501569188</v>
      </c>
      <c r="M209" s="1">
        <f t="shared" si="30"/>
        <v>-2330693.623295649</v>
      </c>
    </row>
    <row r="210" spans="1:13" x14ac:dyDescent="0.25">
      <c r="A210">
        <f t="shared" si="23"/>
        <v>210</v>
      </c>
      <c r="B210" s="1">
        <f>A210/7</f>
        <v>30</v>
      </c>
      <c r="C210">
        <v>0.8</v>
      </c>
      <c r="D210">
        <v>1</v>
      </c>
      <c r="E210" s="1">
        <f t="shared" si="24"/>
        <v>1.0874999999999997</v>
      </c>
      <c r="F210">
        <v>1</v>
      </c>
      <c r="G210">
        <f>1</f>
        <v>1</v>
      </c>
      <c r="H210" s="1">
        <f t="shared" si="25"/>
        <v>9.8961850317545377</v>
      </c>
      <c r="I210" s="1">
        <f t="shared" si="26"/>
        <v>0</v>
      </c>
      <c r="J210" s="1">
        <f t="shared" si="27"/>
        <v>0</v>
      </c>
      <c r="K210" s="1">
        <f t="shared" si="28"/>
        <v>9.8961850317545377</v>
      </c>
      <c r="L210" s="1">
        <f t="shared" si="29"/>
        <v>1990083.2251457106</v>
      </c>
      <c r="M210" s="1">
        <f t="shared" si="30"/>
        <v>-2164215.5073459595</v>
      </c>
    </row>
    <row r="211" spans="1:13" x14ac:dyDescent="0.25">
      <c r="A211">
        <f t="shared" si="23"/>
        <v>210</v>
      </c>
      <c r="B211" s="1">
        <f>A211/7.5</f>
        <v>28</v>
      </c>
      <c r="C211">
        <v>0.8</v>
      </c>
      <c r="D211">
        <v>1</v>
      </c>
      <c r="E211" s="1">
        <f t="shared" si="24"/>
        <v>1.0874999999999997</v>
      </c>
      <c r="F211">
        <v>1</v>
      </c>
      <c r="G211">
        <f>1</f>
        <v>1</v>
      </c>
      <c r="H211" s="1">
        <f t="shared" si="25"/>
        <v>9.8961850317545377</v>
      </c>
      <c r="I211" s="1">
        <f t="shared" si="26"/>
        <v>0</v>
      </c>
      <c r="J211" s="1">
        <f t="shared" si="27"/>
        <v>0</v>
      </c>
      <c r="K211" s="1">
        <f t="shared" si="28"/>
        <v>9.8961850317545377</v>
      </c>
      <c r="L211" s="1">
        <f t="shared" si="29"/>
        <v>1857411.0101359964</v>
      </c>
      <c r="M211" s="1">
        <f t="shared" si="30"/>
        <v>-2019934.4735228957</v>
      </c>
    </row>
    <row r="212" spans="1:13" x14ac:dyDescent="0.25">
      <c r="A212">
        <f t="shared" si="23"/>
        <v>210</v>
      </c>
      <c r="B212" s="1">
        <f>A212/5</f>
        <v>42</v>
      </c>
      <c r="C212">
        <v>0.9</v>
      </c>
      <c r="D212">
        <v>1</v>
      </c>
      <c r="E212" s="1">
        <f t="shared" si="24"/>
        <v>1.0311111111111111</v>
      </c>
      <c r="F212">
        <v>1</v>
      </c>
      <c r="G212">
        <f>1</f>
        <v>1</v>
      </c>
      <c r="H212" s="1">
        <f t="shared" si="25"/>
        <v>9.8961850317545377</v>
      </c>
      <c r="I212" s="1">
        <f t="shared" si="26"/>
        <v>0</v>
      </c>
      <c r="J212" s="1">
        <f t="shared" si="27"/>
        <v>0</v>
      </c>
      <c r="K212" s="1">
        <f t="shared" si="28"/>
        <v>9.8961850317545377</v>
      </c>
      <c r="L212" s="1">
        <f t="shared" si="29"/>
        <v>3134381.0796044944</v>
      </c>
      <c r="M212" s="1">
        <f t="shared" si="30"/>
        <v>-3231895.1576366336</v>
      </c>
    </row>
    <row r="213" spans="1:13" x14ac:dyDescent="0.25">
      <c r="A213">
        <f t="shared" si="23"/>
        <v>210</v>
      </c>
      <c r="B213" s="1">
        <f>A213/5.5</f>
        <v>38.18181818181818</v>
      </c>
      <c r="C213">
        <v>0.9</v>
      </c>
      <c r="D213">
        <v>1</v>
      </c>
      <c r="E213" s="1">
        <f t="shared" si="24"/>
        <v>1.0311111111111111</v>
      </c>
      <c r="F213">
        <v>1</v>
      </c>
      <c r="G213">
        <f>1</f>
        <v>1</v>
      </c>
      <c r="H213" s="1">
        <f t="shared" si="25"/>
        <v>9.8961850317545377</v>
      </c>
      <c r="I213" s="1">
        <f t="shared" si="26"/>
        <v>0</v>
      </c>
      <c r="J213" s="1">
        <f t="shared" si="27"/>
        <v>0</v>
      </c>
      <c r="K213" s="1">
        <f t="shared" si="28"/>
        <v>9.8961850317545377</v>
      </c>
      <c r="L213" s="1">
        <f t="shared" si="29"/>
        <v>2849437.3450949946</v>
      </c>
      <c r="M213" s="1">
        <f t="shared" si="30"/>
        <v>-2938086.5069423942</v>
      </c>
    </row>
    <row r="214" spans="1:13" x14ac:dyDescent="0.25">
      <c r="A214">
        <f t="shared" si="23"/>
        <v>210</v>
      </c>
      <c r="B214" s="1">
        <f>A214/6</f>
        <v>35</v>
      </c>
      <c r="C214">
        <v>0.9</v>
      </c>
      <c r="D214">
        <v>1</v>
      </c>
      <c r="E214" s="1">
        <f t="shared" si="24"/>
        <v>1.0311111111111111</v>
      </c>
      <c r="F214">
        <v>1</v>
      </c>
      <c r="G214">
        <f>1</f>
        <v>1</v>
      </c>
      <c r="H214" s="1">
        <f t="shared" si="25"/>
        <v>9.8961850317545377</v>
      </c>
      <c r="I214" s="1">
        <f t="shared" si="26"/>
        <v>0</v>
      </c>
      <c r="J214" s="1">
        <f t="shared" si="27"/>
        <v>0</v>
      </c>
      <c r="K214" s="1">
        <f t="shared" si="28"/>
        <v>9.8961850317545377</v>
      </c>
      <c r="L214" s="1">
        <f t="shared" si="29"/>
        <v>2611984.2330037449</v>
      </c>
      <c r="M214" s="1">
        <f t="shared" si="30"/>
        <v>-2693245.9646971948</v>
      </c>
    </row>
    <row r="215" spans="1:13" x14ac:dyDescent="0.25">
      <c r="A215">
        <f t="shared" si="23"/>
        <v>210</v>
      </c>
      <c r="B215" s="1">
        <f>A215/6.5</f>
        <v>32.307692307692307</v>
      </c>
      <c r="C215">
        <v>0.9</v>
      </c>
      <c r="D215">
        <v>1</v>
      </c>
      <c r="E215" s="1">
        <f t="shared" si="24"/>
        <v>1.0311111111111111</v>
      </c>
      <c r="F215">
        <v>1</v>
      </c>
      <c r="G215">
        <f>1</f>
        <v>1</v>
      </c>
      <c r="H215" s="1">
        <f t="shared" si="25"/>
        <v>9.8961850317545377</v>
      </c>
      <c r="I215" s="1">
        <f t="shared" si="26"/>
        <v>0</v>
      </c>
      <c r="J215" s="1">
        <f t="shared" si="27"/>
        <v>0</v>
      </c>
      <c r="K215" s="1">
        <f t="shared" si="28"/>
        <v>9.8961850317545377</v>
      </c>
      <c r="L215" s="1">
        <f t="shared" si="29"/>
        <v>2411062.368926534</v>
      </c>
      <c r="M215" s="1">
        <f t="shared" si="30"/>
        <v>-2486073.1981820259</v>
      </c>
    </row>
    <row r="216" spans="1:13" x14ac:dyDescent="0.25">
      <c r="A216">
        <f t="shared" si="23"/>
        <v>210</v>
      </c>
      <c r="B216" s="1">
        <f>A216/7</f>
        <v>30</v>
      </c>
      <c r="C216">
        <v>0.9</v>
      </c>
      <c r="D216">
        <v>1</v>
      </c>
      <c r="E216" s="1">
        <f t="shared" si="24"/>
        <v>1.0311111111111111</v>
      </c>
      <c r="F216">
        <v>1</v>
      </c>
      <c r="G216">
        <f>1</f>
        <v>1</v>
      </c>
      <c r="H216" s="1">
        <f t="shared" si="25"/>
        <v>9.8961850317545377</v>
      </c>
      <c r="I216" s="1">
        <f t="shared" si="26"/>
        <v>0</v>
      </c>
      <c r="J216" s="1">
        <f t="shared" si="27"/>
        <v>0</v>
      </c>
      <c r="K216" s="1">
        <f t="shared" si="28"/>
        <v>9.8961850317545377</v>
      </c>
      <c r="L216" s="1">
        <f t="shared" si="29"/>
        <v>2238843.6282889247</v>
      </c>
      <c r="M216" s="1">
        <f t="shared" si="30"/>
        <v>-2308496.5411690241</v>
      </c>
    </row>
    <row r="217" spans="1:13" x14ac:dyDescent="0.25">
      <c r="A217">
        <f t="shared" si="23"/>
        <v>210</v>
      </c>
      <c r="B217" s="1">
        <f>A217/7.5</f>
        <v>28</v>
      </c>
      <c r="C217">
        <v>0.9</v>
      </c>
      <c r="D217">
        <v>1</v>
      </c>
      <c r="E217" s="1">
        <f t="shared" si="24"/>
        <v>1.0311111111111111</v>
      </c>
      <c r="F217">
        <v>1</v>
      </c>
      <c r="G217">
        <f>1</f>
        <v>1</v>
      </c>
      <c r="H217" s="1">
        <f t="shared" si="25"/>
        <v>9.8961850317545377</v>
      </c>
      <c r="I217" s="1">
        <f t="shared" si="26"/>
        <v>0</v>
      </c>
      <c r="J217" s="1">
        <f t="shared" si="27"/>
        <v>0</v>
      </c>
      <c r="K217" s="1">
        <f t="shared" si="28"/>
        <v>9.8961850317545377</v>
      </c>
      <c r="L217" s="1">
        <f t="shared" si="29"/>
        <v>2089587.386402996</v>
      </c>
      <c r="M217" s="1">
        <f t="shared" si="30"/>
        <v>-2154596.7717577564</v>
      </c>
    </row>
    <row r="218" spans="1:13" x14ac:dyDescent="0.25">
      <c r="A218">
        <f t="shared" si="23"/>
        <v>225</v>
      </c>
      <c r="B218" s="1">
        <f>A218/5</f>
        <v>45</v>
      </c>
      <c r="C218">
        <v>0.6</v>
      </c>
      <c r="D218">
        <v>1</v>
      </c>
      <c r="E218" s="1">
        <f t="shared" si="24"/>
        <v>1.2566666666666666</v>
      </c>
      <c r="F218">
        <v>1</v>
      </c>
      <c r="G218">
        <f>1</f>
        <v>1</v>
      </c>
      <c r="H218" s="1">
        <f t="shared" si="25"/>
        <v>10.100480947161671</v>
      </c>
      <c r="I218" s="1">
        <f t="shared" si="26"/>
        <v>0</v>
      </c>
      <c r="J218" s="1">
        <f t="shared" si="27"/>
        <v>0</v>
      </c>
      <c r="K218" s="1">
        <f t="shared" si="28"/>
        <v>10.100480947161671</v>
      </c>
      <c r="L218" s="1">
        <f t="shared" si="29"/>
        <v>2623158.0299838055</v>
      </c>
      <c r="M218" s="1">
        <f t="shared" si="30"/>
        <v>-3296435.2576796487</v>
      </c>
    </row>
    <row r="219" spans="1:13" x14ac:dyDescent="0.25">
      <c r="A219">
        <f t="shared" ref="A219:A265" si="31">A195+15</f>
        <v>225</v>
      </c>
      <c r="B219" s="1">
        <f>A219/5.5</f>
        <v>40.909090909090907</v>
      </c>
      <c r="C219">
        <v>0.6</v>
      </c>
      <c r="D219">
        <v>1</v>
      </c>
      <c r="E219" s="1">
        <f t="shared" si="24"/>
        <v>1.2566666666666666</v>
      </c>
      <c r="F219">
        <v>1</v>
      </c>
      <c r="G219">
        <f>1</f>
        <v>1</v>
      </c>
      <c r="H219" s="1">
        <f t="shared" si="25"/>
        <v>10.100480947161671</v>
      </c>
      <c r="I219" s="1">
        <f t="shared" si="26"/>
        <v>0</v>
      </c>
      <c r="J219" s="1">
        <f t="shared" si="27"/>
        <v>0</v>
      </c>
      <c r="K219" s="1">
        <f t="shared" si="28"/>
        <v>10.100480947161671</v>
      </c>
      <c r="L219" s="1">
        <f t="shared" si="29"/>
        <v>2384689.1181670958</v>
      </c>
      <c r="M219" s="1">
        <f t="shared" si="30"/>
        <v>-2996759.3251633169</v>
      </c>
    </row>
    <row r="220" spans="1:13" x14ac:dyDescent="0.25">
      <c r="A220">
        <f t="shared" si="31"/>
        <v>225</v>
      </c>
      <c r="B220" s="1">
        <f>A220/6</f>
        <v>37.5</v>
      </c>
      <c r="C220">
        <v>0.6</v>
      </c>
      <c r="D220">
        <v>1</v>
      </c>
      <c r="E220" s="1">
        <f t="shared" si="24"/>
        <v>1.2566666666666666</v>
      </c>
      <c r="F220">
        <v>1</v>
      </c>
      <c r="G220">
        <f>1</f>
        <v>1</v>
      </c>
      <c r="H220" s="1">
        <f t="shared" si="25"/>
        <v>10.100480947161671</v>
      </c>
      <c r="I220" s="1">
        <f t="shared" si="26"/>
        <v>0</v>
      </c>
      <c r="J220" s="1">
        <f t="shared" si="27"/>
        <v>0</v>
      </c>
      <c r="K220" s="1">
        <f t="shared" si="28"/>
        <v>10.100480947161671</v>
      </c>
      <c r="L220" s="1">
        <f t="shared" si="29"/>
        <v>2185965.0249865046</v>
      </c>
      <c r="M220" s="1">
        <f t="shared" si="30"/>
        <v>-2747029.3813997074</v>
      </c>
    </row>
    <row r="221" spans="1:13" x14ac:dyDescent="0.25">
      <c r="A221">
        <f t="shared" si="31"/>
        <v>225</v>
      </c>
      <c r="B221" s="1">
        <f>A221/6.5</f>
        <v>34.615384615384613</v>
      </c>
      <c r="C221">
        <v>0.6</v>
      </c>
      <c r="D221">
        <v>1</v>
      </c>
      <c r="E221" s="1">
        <f t="shared" si="24"/>
        <v>1.2566666666666666</v>
      </c>
      <c r="F221">
        <v>1</v>
      </c>
      <c r="G221">
        <f>1</f>
        <v>1</v>
      </c>
      <c r="H221" s="1">
        <f t="shared" si="25"/>
        <v>10.100480947161671</v>
      </c>
      <c r="I221" s="1">
        <f t="shared" si="26"/>
        <v>0</v>
      </c>
      <c r="J221" s="1">
        <f t="shared" si="27"/>
        <v>0</v>
      </c>
      <c r="K221" s="1">
        <f t="shared" si="28"/>
        <v>10.100480947161671</v>
      </c>
      <c r="L221" s="1">
        <f t="shared" si="29"/>
        <v>2017813.8692183117</v>
      </c>
      <c r="M221" s="1">
        <f t="shared" si="30"/>
        <v>-2535719.4289843449</v>
      </c>
    </row>
    <row r="222" spans="1:13" x14ac:dyDescent="0.25">
      <c r="A222">
        <f t="shared" si="31"/>
        <v>225</v>
      </c>
      <c r="B222" s="1">
        <f>A222/7</f>
        <v>32.142857142857146</v>
      </c>
      <c r="C222">
        <v>0.6</v>
      </c>
      <c r="D222">
        <v>1</v>
      </c>
      <c r="E222" s="1">
        <f t="shared" si="24"/>
        <v>1.2566666666666666</v>
      </c>
      <c r="F222">
        <v>1</v>
      </c>
      <c r="G222">
        <f>1</f>
        <v>1</v>
      </c>
      <c r="H222" s="1">
        <f t="shared" si="25"/>
        <v>10.100480947161671</v>
      </c>
      <c r="I222" s="1">
        <f t="shared" si="26"/>
        <v>0</v>
      </c>
      <c r="J222" s="1">
        <f t="shared" si="27"/>
        <v>0</v>
      </c>
      <c r="K222" s="1">
        <f t="shared" si="28"/>
        <v>10.100480947161671</v>
      </c>
      <c r="L222" s="1">
        <f t="shared" si="29"/>
        <v>1873684.3071312897</v>
      </c>
      <c r="M222" s="1">
        <f t="shared" si="30"/>
        <v>-2354596.6126283207</v>
      </c>
    </row>
    <row r="223" spans="1:13" x14ac:dyDescent="0.25">
      <c r="A223">
        <f t="shared" si="31"/>
        <v>225</v>
      </c>
      <c r="B223" s="1">
        <f>A223/7.5</f>
        <v>30</v>
      </c>
      <c r="C223">
        <v>0.6</v>
      </c>
      <c r="D223">
        <v>1</v>
      </c>
      <c r="E223" s="1">
        <f t="shared" si="24"/>
        <v>1.2566666666666666</v>
      </c>
      <c r="F223">
        <v>1</v>
      </c>
      <c r="G223">
        <f>1</f>
        <v>1</v>
      </c>
      <c r="H223" s="1">
        <f t="shared" si="25"/>
        <v>10.100480947161671</v>
      </c>
      <c r="I223" s="1">
        <f t="shared" si="26"/>
        <v>0</v>
      </c>
      <c r="J223" s="1">
        <f t="shared" si="27"/>
        <v>0</v>
      </c>
      <c r="K223" s="1">
        <f t="shared" si="28"/>
        <v>10.100480947161671</v>
      </c>
      <c r="L223" s="1">
        <f t="shared" si="29"/>
        <v>1748772.0199892037</v>
      </c>
      <c r="M223" s="1">
        <f t="shared" si="30"/>
        <v>-2197623.5051197656</v>
      </c>
    </row>
    <row r="224" spans="1:13" x14ac:dyDescent="0.25">
      <c r="A224">
        <f t="shared" si="31"/>
        <v>225</v>
      </c>
      <c r="B224" s="1">
        <f>A224/5</f>
        <v>45</v>
      </c>
      <c r="C224">
        <v>0.7</v>
      </c>
      <c r="D224">
        <v>1</v>
      </c>
      <c r="E224" s="1">
        <f t="shared" si="24"/>
        <v>1.1599999999999999</v>
      </c>
      <c r="F224">
        <v>1</v>
      </c>
      <c r="G224">
        <f>1</f>
        <v>1</v>
      </c>
      <c r="H224" s="1">
        <f t="shared" si="25"/>
        <v>10.100480947161671</v>
      </c>
      <c r="I224" s="1">
        <f t="shared" si="26"/>
        <v>0</v>
      </c>
      <c r="J224" s="1">
        <f t="shared" si="27"/>
        <v>0</v>
      </c>
      <c r="K224" s="1">
        <f t="shared" si="28"/>
        <v>10.100480947161671</v>
      </c>
      <c r="L224" s="1">
        <f t="shared" si="29"/>
        <v>3060351.0349811064</v>
      </c>
      <c r="M224" s="1">
        <f t="shared" si="30"/>
        <v>-3550007.2005780828</v>
      </c>
    </row>
    <row r="225" spans="1:13" x14ac:dyDescent="0.25">
      <c r="A225">
        <f t="shared" si="31"/>
        <v>225</v>
      </c>
      <c r="B225" s="1">
        <f>A225/5.5</f>
        <v>40.909090909090907</v>
      </c>
      <c r="C225">
        <v>0.7</v>
      </c>
      <c r="D225">
        <v>1</v>
      </c>
      <c r="E225" s="1">
        <f t="shared" si="24"/>
        <v>1.1599999999999999</v>
      </c>
      <c r="F225">
        <v>1</v>
      </c>
      <c r="G225">
        <f>1</f>
        <v>1</v>
      </c>
      <c r="H225" s="1">
        <f t="shared" si="25"/>
        <v>10.100480947161671</v>
      </c>
      <c r="I225" s="1">
        <f t="shared" si="26"/>
        <v>0</v>
      </c>
      <c r="J225" s="1">
        <f t="shared" si="27"/>
        <v>0</v>
      </c>
      <c r="K225" s="1">
        <f t="shared" si="28"/>
        <v>10.100480947161671</v>
      </c>
      <c r="L225" s="1">
        <f t="shared" si="29"/>
        <v>2782137.3045282783</v>
      </c>
      <c r="M225" s="1">
        <f t="shared" si="30"/>
        <v>-3227279.2732528024</v>
      </c>
    </row>
    <row r="226" spans="1:13" x14ac:dyDescent="0.25">
      <c r="A226">
        <f t="shared" si="31"/>
        <v>225</v>
      </c>
      <c r="B226" s="1">
        <f>A226/6</f>
        <v>37.5</v>
      </c>
      <c r="C226">
        <v>0.7</v>
      </c>
      <c r="D226">
        <v>1</v>
      </c>
      <c r="E226" s="1">
        <f t="shared" si="24"/>
        <v>1.1599999999999999</v>
      </c>
      <c r="F226">
        <v>1</v>
      </c>
      <c r="G226">
        <f>1</f>
        <v>1</v>
      </c>
      <c r="H226" s="1">
        <f t="shared" si="25"/>
        <v>10.100480947161671</v>
      </c>
      <c r="I226" s="1">
        <f t="shared" si="26"/>
        <v>0</v>
      </c>
      <c r="J226" s="1">
        <f t="shared" si="27"/>
        <v>0</v>
      </c>
      <c r="K226" s="1">
        <f t="shared" si="28"/>
        <v>10.100480947161671</v>
      </c>
      <c r="L226" s="1">
        <f t="shared" si="29"/>
        <v>2550292.5291509219</v>
      </c>
      <c r="M226" s="1">
        <f t="shared" si="30"/>
        <v>-2958339.3338150689</v>
      </c>
    </row>
    <row r="227" spans="1:13" x14ac:dyDescent="0.25">
      <c r="A227">
        <f t="shared" si="31"/>
        <v>225</v>
      </c>
      <c r="B227" s="1">
        <f>A227/6.5</f>
        <v>34.615384615384613</v>
      </c>
      <c r="C227">
        <v>0.7</v>
      </c>
      <c r="D227">
        <v>1</v>
      </c>
      <c r="E227" s="1">
        <f t="shared" si="24"/>
        <v>1.1599999999999999</v>
      </c>
      <c r="F227">
        <v>1</v>
      </c>
      <c r="G227">
        <f>1</f>
        <v>1</v>
      </c>
      <c r="H227" s="1">
        <f t="shared" si="25"/>
        <v>10.100480947161671</v>
      </c>
      <c r="I227" s="1">
        <f t="shared" si="26"/>
        <v>0</v>
      </c>
      <c r="J227" s="1">
        <f t="shared" si="27"/>
        <v>0</v>
      </c>
      <c r="K227" s="1">
        <f t="shared" si="28"/>
        <v>10.100480947161671</v>
      </c>
      <c r="L227" s="1">
        <f t="shared" si="29"/>
        <v>2354116.180754697</v>
      </c>
      <c r="M227" s="1">
        <f t="shared" si="30"/>
        <v>-2730774.7696754481</v>
      </c>
    </row>
    <row r="228" spans="1:13" x14ac:dyDescent="0.25">
      <c r="A228">
        <f t="shared" si="31"/>
        <v>225</v>
      </c>
      <c r="B228" s="1">
        <f>A228/7</f>
        <v>32.142857142857146</v>
      </c>
      <c r="C228">
        <v>0.7</v>
      </c>
      <c r="D228">
        <v>1</v>
      </c>
      <c r="E228" s="1">
        <f t="shared" si="24"/>
        <v>1.1599999999999999</v>
      </c>
      <c r="F228">
        <v>1</v>
      </c>
      <c r="G228">
        <f>1</f>
        <v>1</v>
      </c>
      <c r="H228" s="1">
        <f t="shared" si="25"/>
        <v>10.100480947161671</v>
      </c>
      <c r="I228" s="1">
        <f t="shared" si="26"/>
        <v>0</v>
      </c>
      <c r="J228" s="1">
        <f t="shared" si="27"/>
        <v>0</v>
      </c>
      <c r="K228" s="1">
        <f t="shared" si="28"/>
        <v>10.100480947161671</v>
      </c>
      <c r="L228" s="1">
        <f t="shared" si="29"/>
        <v>2185965.0249865046</v>
      </c>
      <c r="M228" s="1">
        <f t="shared" si="30"/>
        <v>-2535719.4289843454</v>
      </c>
    </row>
    <row r="229" spans="1:13" x14ac:dyDescent="0.25">
      <c r="A229">
        <f t="shared" si="31"/>
        <v>225</v>
      </c>
      <c r="B229" s="1">
        <f>A229/7.5</f>
        <v>30</v>
      </c>
      <c r="C229">
        <v>0.7</v>
      </c>
      <c r="D229">
        <v>1</v>
      </c>
      <c r="E229" s="1">
        <f t="shared" si="24"/>
        <v>1.1599999999999999</v>
      </c>
      <c r="F229">
        <v>1</v>
      </c>
      <c r="G229">
        <f>1</f>
        <v>1</v>
      </c>
      <c r="H229" s="1">
        <f t="shared" si="25"/>
        <v>10.100480947161671</v>
      </c>
      <c r="I229" s="1">
        <f t="shared" si="26"/>
        <v>0</v>
      </c>
      <c r="J229" s="1">
        <f t="shared" si="27"/>
        <v>0</v>
      </c>
      <c r="K229" s="1">
        <f t="shared" si="28"/>
        <v>10.100480947161671</v>
      </c>
      <c r="L229" s="1">
        <f t="shared" si="29"/>
        <v>2040234.0233207375</v>
      </c>
      <c r="M229" s="1">
        <f t="shared" si="30"/>
        <v>-2366671.4670520551</v>
      </c>
    </row>
    <row r="230" spans="1:13" x14ac:dyDescent="0.25">
      <c r="A230">
        <f t="shared" si="31"/>
        <v>225</v>
      </c>
      <c r="B230" s="1">
        <f>A230/5</f>
        <v>45</v>
      </c>
      <c r="C230">
        <v>0.8</v>
      </c>
      <c r="D230">
        <v>1</v>
      </c>
      <c r="E230" s="1">
        <f t="shared" si="24"/>
        <v>1.0874999999999997</v>
      </c>
      <c r="F230">
        <v>1</v>
      </c>
      <c r="G230">
        <f>1</f>
        <v>1</v>
      </c>
      <c r="H230" s="1">
        <f t="shared" si="25"/>
        <v>10.100480947161671</v>
      </c>
      <c r="I230" s="1">
        <f t="shared" si="26"/>
        <v>0</v>
      </c>
      <c r="J230" s="1">
        <f t="shared" si="27"/>
        <v>0</v>
      </c>
      <c r="K230" s="1">
        <f t="shared" si="28"/>
        <v>10.100480947161671</v>
      </c>
      <c r="L230" s="1">
        <f t="shared" si="29"/>
        <v>3497544.0399784073</v>
      </c>
      <c r="M230" s="1">
        <f t="shared" si="30"/>
        <v>-3803579.1434765169</v>
      </c>
    </row>
    <row r="231" spans="1:13" x14ac:dyDescent="0.25">
      <c r="A231">
        <f t="shared" si="31"/>
        <v>225</v>
      </c>
      <c r="B231" s="1">
        <f>A231/5.5</f>
        <v>40.909090909090907</v>
      </c>
      <c r="C231">
        <v>0.8</v>
      </c>
      <c r="D231">
        <v>1</v>
      </c>
      <c r="E231" s="1">
        <f t="shared" si="24"/>
        <v>1.0874999999999997</v>
      </c>
      <c r="F231">
        <v>1</v>
      </c>
      <c r="G231">
        <f>1</f>
        <v>1</v>
      </c>
      <c r="H231" s="1">
        <f t="shared" si="25"/>
        <v>10.100480947161671</v>
      </c>
      <c r="I231" s="1">
        <f t="shared" si="26"/>
        <v>0</v>
      </c>
      <c r="J231" s="1">
        <f t="shared" si="27"/>
        <v>0</v>
      </c>
      <c r="K231" s="1">
        <f t="shared" si="28"/>
        <v>10.100480947161671</v>
      </c>
      <c r="L231" s="1">
        <f t="shared" si="29"/>
        <v>3179585.4908894617</v>
      </c>
      <c r="M231" s="1">
        <f t="shared" si="30"/>
        <v>-3457799.221342288</v>
      </c>
    </row>
    <row r="232" spans="1:13" x14ac:dyDescent="0.25">
      <c r="A232">
        <f t="shared" si="31"/>
        <v>225</v>
      </c>
      <c r="B232" s="1">
        <f>A232/6</f>
        <v>37.5</v>
      </c>
      <c r="C232">
        <v>0.8</v>
      </c>
      <c r="D232">
        <v>1</v>
      </c>
      <c r="E232" s="1">
        <f t="shared" si="24"/>
        <v>1.0874999999999997</v>
      </c>
      <c r="F232">
        <v>1</v>
      </c>
      <c r="G232">
        <f>1</f>
        <v>1</v>
      </c>
      <c r="H232" s="1">
        <f t="shared" si="25"/>
        <v>10.100480947161671</v>
      </c>
      <c r="I232" s="1">
        <f t="shared" si="26"/>
        <v>0</v>
      </c>
      <c r="J232" s="1">
        <f t="shared" si="27"/>
        <v>0</v>
      </c>
      <c r="K232" s="1">
        <f t="shared" si="28"/>
        <v>10.100480947161671</v>
      </c>
      <c r="L232" s="1">
        <f t="shared" si="29"/>
        <v>2914620.0333153401</v>
      </c>
      <c r="M232" s="1">
        <f t="shared" si="30"/>
        <v>-3169649.2862304309</v>
      </c>
    </row>
    <row r="233" spans="1:13" x14ac:dyDescent="0.25">
      <c r="A233">
        <f t="shared" si="31"/>
        <v>225</v>
      </c>
      <c r="B233" s="1">
        <f>A233/6.5</f>
        <v>34.615384615384613</v>
      </c>
      <c r="C233">
        <v>0.8</v>
      </c>
      <c r="D233">
        <v>1</v>
      </c>
      <c r="E233" s="1">
        <f t="shared" si="24"/>
        <v>1.0874999999999997</v>
      </c>
      <c r="F233">
        <v>1</v>
      </c>
      <c r="G233">
        <f>1</f>
        <v>1</v>
      </c>
      <c r="H233" s="1">
        <f t="shared" si="25"/>
        <v>10.100480947161671</v>
      </c>
      <c r="I233" s="1">
        <f t="shared" si="26"/>
        <v>0</v>
      </c>
      <c r="J233" s="1">
        <f t="shared" si="27"/>
        <v>0</v>
      </c>
      <c r="K233" s="1">
        <f t="shared" si="28"/>
        <v>10.100480947161671</v>
      </c>
      <c r="L233" s="1">
        <f t="shared" si="29"/>
        <v>2690418.4922910826</v>
      </c>
      <c r="M233" s="1">
        <f t="shared" si="30"/>
        <v>-2925830.1103665517</v>
      </c>
    </row>
    <row r="234" spans="1:13" x14ac:dyDescent="0.25">
      <c r="A234">
        <f t="shared" si="31"/>
        <v>225</v>
      </c>
      <c r="B234" s="1">
        <f>A234/7</f>
        <v>32.142857142857146</v>
      </c>
      <c r="C234">
        <v>0.8</v>
      </c>
      <c r="D234">
        <v>1</v>
      </c>
      <c r="E234" s="1">
        <f t="shared" si="24"/>
        <v>1.0874999999999997</v>
      </c>
      <c r="F234">
        <v>1</v>
      </c>
      <c r="G234">
        <f>1</f>
        <v>1</v>
      </c>
      <c r="H234" s="1">
        <f t="shared" si="25"/>
        <v>10.100480947161671</v>
      </c>
      <c r="I234" s="1">
        <f t="shared" si="26"/>
        <v>0</v>
      </c>
      <c r="J234" s="1">
        <f t="shared" si="27"/>
        <v>0</v>
      </c>
      <c r="K234" s="1">
        <f t="shared" si="28"/>
        <v>10.100480947161671</v>
      </c>
      <c r="L234" s="1">
        <f t="shared" si="29"/>
        <v>2498245.7428417201</v>
      </c>
      <c r="M234" s="1">
        <f t="shared" si="30"/>
        <v>-2716842.2453403696</v>
      </c>
    </row>
    <row r="235" spans="1:13" x14ac:dyDescent="0.25">
      <c r="A235">
        <f t="shared" si="31"/>
        <v>225</v>
      </c>
      <c r="B235" s="1">
        <f>A235/7.5</f>
        <v>30</v>
      </c>
      <c r="C235">
        <v>0.8</v>
      </c>
      <c r="D235">
        <v>1</v>
      </c>
      <c r="E235" s="1">
        <f t="shared" si="24"/>
        <v>1.0874999999999997</v>
      </c>
      <c r="F235">
        <v>1</v>
      </c>
      <c r="G235">
        <f>1</f>
        <v>1</v>
      </c>
      <c r="H235" s="1">
        <f t="shared" si="25"/>
        <v>10.100480947161671</v>
      </c>
      <c r="I235" s="1">
        <f t="shared" si="26"/>
        <v>0</v>
      </c>
      <c r="J235" s="1">
        <f t="shared" si="27"/>
        <v>0</v>
      </c>
      <c r="K235" s="1">
        <f t="shared" si="28"/>
        <v>10.100480947161671</v>
      </c>
      <c r="L235" s="1">
        <f t="shared" si="29"/>
        <v>2331696.0266522719</v>
      </c>
      <c r="M235" s="1">
        <f t="shared" si="30"/>
        <v>-2535719.4289843449</v>
      </c>
    </row>
    <row r="236" spans="1:13" x14ac:dyDescent="0.25">
      <c r="A236">
        <f t="shared" si="31"/>
        <v>225</v>
      </c>
      <c r="B236" s="1">
        <f>A236/5</f>
        <v>45</v>
      </c>
      <c r="C236">
        <v>0.9</v>
      </c>
      <c r="D236">
        <v>1</v>
      </c>
      <c r="E236" s="1">
        <f t="shared" si="24"/>
        <v>1.0311111111111111</v>
      </c>
      <c r="F236">
        <v>1</v>
      </c>
      <c r="G236">
        <f>1</f>
        <v>1</v>
      </c>
      <c r="H236" s="1">
        <f t="shared" si="25"/>
        <v>10.100480947161671</v>
      </c>
      <c r="I236" s="1">
        <f t="shared" si="26"/>
        <v>0</v>
      </c>
      <c r="J236" s="1">
        <f t="shared" si="27"/>
        <v>0</v>
      </c>
      <c r="K236" s="1">
        <f t="shared" si="28"/>
        <v>10.100480947161671</v>
      </c>
      <c r="L236" s="1">
        <f t="shared" si="29"/>
        <v>3934737.0449757082</v>
      </c>
      <c r="M236" s="1">
        <f t="shared" si="30"/>
        <v>-4057151.0863749529</v>
      </c>
    </row>
    <row r="237" spans="1:13" x14ac:dyDescent="0.25">
      <c r="A237">
        <f t="shared" si="31"/>
        <v>225</v>
      </c>
      <c r="B237" s="1">
        <f>A237/5.5</f>
        <v>40.909090909090907</v>
      </c>
      <c r="C237">
        <v>0.9</v>
      </c>
      <c r="D237">
        <v>1</v>
      </c>
      <c r="E237" s="1">
        <f t="shared" si="24"/>
        <v>1.0311111111111111</v>
      </c>
      <c r="F237">
        <v>1</v>
      </c>
      <c r="G237">
        <f>1</f>
        <v>1</v>
      </c>
      <c r="H237" s="1">
        <f t="shared" si="25"/>
        <v>10.100480947161671</v>
      </c>
      <c r="I237" s="1">
        <f t="shared" si="26"/>
        <v>0</v>
      </c>
      <c r="J237" s="1">
        <f t="shared" si="27"/>
        <v>0</v>
      </c>
      <c r="K237" s="1">
        <f t="shared" si="28"/>
        <v>10.100480947161671</v>
      </c>
      <c r="L237" s="1">
        <f t="shared" si="29"/>
        <v>3577033.6772506442</v>
      </c>
      <c r="M237" s="1">
        <f t="shared" si="30"/>
        <v>-3688319.1694317749</v>
      </c>
    </row>
    <row r="238" spans="1:13" x14ac:dyDescent="0.25">
      <c r="A238">
        <f t="shared" si="31"/>
        <v>225</v>
      </c>
      <c r="B238" s="1">
        <f>A238/6</f>
        <v>37.5</v>
      </c>
      <c r="C238">
        <v>0.9</v>
      </c>
      <c r="D238">
        <v>1</v>
      </c>
      <c r="E238" s="1">
        <f t="shared" si="24"/>
        <v>1.0311111111111111</v>
      </c>
      <c r="F238">
        <v>1</v>
      </c>
      <c r="G238">
        <f>1</f>
        <v>1</v>
      </c>
      <c r="H238" s="1">
        <f t="shared" si="25"/>
        <v>10.100480947161671</v>
      </c>
      <c r="I238" s="1">
        <f t="shared" si="26"/>
        <v>0</v>
      </c>
      <c r="J238" s="1">
        <f t="shared" si="27"/>
        <v>0</v>
      </c>
      <c r="K238" s="1">
        <f t="shared" si="28"/>
        <v>10.100480947161671</v>
      </c>
      <c r="L238" s="1">
        <f t="shared" si="29"/>
        <v>3278947.5374797573</v>
      </c>
      <c r="M238" s="1">
        <f t="shared" si="30"/>
        <v>-3380959.2386457939</v>
      </c>
    </row>
    <row r="239" spans="1:13" x14ac:dyDescent="0.25">
      <c r="A239">
        <f t="shared" si="31"/>
        <v>225</v>
      </c>
      <c r="B239" s="1">
        <f>A239/6.5</f>
        <v>34.615384615384613</v>
      </c>
      <c r="C239">
        <v>0.9</v>
      </c>
      <c r="D239">
        <v>1</v>
      </c>
      <c r="E239" s="1">
        <f t="shared" si="24"/>
        <v>1.0311111111111111</v>
      </c>
      <c r="F239">
        <v>1</v>
      </c>
      <c r="G239">
        <f>1</f>
        <v>1</v>
      </c>
      <c r="H239" s="1">
        <f t="shared" si="25"/>
        <v>10.100480947161671</v>
      </c>
      <c r="I239" s="1">
        <f t="shared" si="26"/>
        <v>0</v>
      </c>
      <c r="J239" s="1">
        <f t="shared" si="27"/>
        <v>0</v>
      </c>
      <c r="K239" s="1">
        <f t="shared" si="28"/>
        <v>10.100480947161671</v>
      </c>
      <c r="L239" s="1">
        <f t="shared" si="29"/>
        <v>3026720.8038274678</v>
      </c>
      <c r="M239" s="1">
        <f t="shared" si="30"/>
        <v>-3120885.4510576557</v>
      </c>
    </row>
    <row r="240" spans="1:13" x14ac:dyDescent="0.25">
      <c r="A240">
        <f t="shared" si="31"/>
        <v>225</v>
      </c>
      <c r="B240" s="1">
        <f>A240/7</f>
        <v>32.142857142857146</v>
      </c>
      <c r="C240">
        <v>0.9</v>
      </c>
      <c r="D240">
        <v>1</v>
      </c>
      <c r="E240" s="1">
        <f t="shared" si="24"/>
        <v>1.0311111111111111</v>
      </c>
      <c r="F240">
        <v>1</v>
      </c>
      <c r="G240">
        <f>1</f>
        <v>1</v>
      </c>
      <c r="H240" s="1">
        <f t="shared" si="25"/>
        <v>10.100480947161671</v>
      </c>
      <c r="I240" s="1">
        <f t="shared" si="26"/>
        <v>0</v>
      </c>
      <c r="J240" s="1">
        <f t="shared" si="27"/>
        <v>0</v>
      </c>
      <c r="K240" s="1">
        <f t="shared" si="28"/>
        <v>10.100480947161671</v>
      </c>
      <c r="L240" s="1">
        <f t="shared" si="29"/>
        <v>2810526.4606969347</v>
      </c>
      <c r="M240" s="1">
        <f t="shared" si="30"/>
        <v>-2897965.0616963953</v>
      </c>
    </row>
    <row r="241" spans="1:13" x14ac:dyDescent="0.25">
      <c r="A241">
        <f t="shared" si="31"/>
        <v>225</v>
      </c>
      <c r="B241" s="1">
        <f>A241/7.5</f>
        <v>30</v>
      </c>
      <c r="C241">
        <v>0.9</v>
      </c>
      <c r="D241">
        <v>1</v>
      </c>
      <c r="E241" s="1">
        <f t="shared" si="24"/>
        <v>1.0311111111111111</v>
      </c>
      <c r="F241">
        <v>1</v>
      </c>
      <c r="G241">
        <f>1</f>
        <v>1</v>
      </c>
      <c r="H241" s="1">
        <f t="shared" si="25"/>
        <v>10.100480947161671</v>
      </c>
      <c r="I241" s="1">
        <f t="shared" si="26"/>
        <v>0</v>
      </c>
      <c r="J241" s="1">
        <f t="shared" si="27"/>
        <v>0</v>
      </c>
      <c r="K241" s="1">
        <f t="shared" si="28"/>
        <v>10.100480947161671</v>
      </c>
      <c r="L241" s="1">
        <f t="shared" si="29"/>
        <v>2623158.0299838055</v>
      </c>
      <c r="M241" s="1">
        <f t="shared" si="30"/>
        <v>-2704767.3909166353</v>
      </c>
    </row>
    <row r="242" spans="1:13" x14ac:dyDescent="0.25">
      <c r="A242">
        <f t="shared" si="31"/>
        <v>240</v>
      </c>
      <c r="B242" s="1">
        <f>A242/5</f>
        <v>48</v>
      </c>
      <c r="C242">
        <v>0.6</v>
      </c>
      <c r="D242">
        <v>1</v>
      </c>
      <c r="E242" s="1">
        <f t="shared" si="24"/>
        <v>1.2566666666666666</v>
      </c>
      <c r="F242">
        <v>1</v>
      </c>
      <c r="G242">
        <f>1</f>
        <v>1</v>
      </c>
      <c r="H242" s="1">
        <f t="shared" si="25"/>
        <v>10.28524199845511</v>
      </c>
      <c r="I242" s="1">
        <f t="shared" si="26"/>
        <v>0</v>
      </c>
      <c r="J242" s="1">
        <f t="shared" si="27"/>
        <v>0</v>
      </c>
      <c r="K242" s="1">
        <f t="shared" si="28"/>
        <v>10.28524199845511</v>
      </c>
      <c r="L242" s="1">
        <f t="shared" si="29"/>
        <v>3241776.6268154704</v>
      </c>
      <c r="M242" s="1">
        <f t="shared" si="30"/>
        <v>-4073832.6276981072</v>
      </c>
    </row>
    <row r="243" spans="1:13" x14ac:dyDescent="0.25">
      <c r="A243">
        <f t="shared" si="31"/>
        <v>240</v>
      </c>
      <c r="B243" s="1">
        <f>A243/5.5</f>
        <v>43.636363636363633</v>
      </c>
      <c r="C243">
        <v>0.6</v>
      </c>
      <c r="D243">
        <v>1</v>
      </c>
      <c r="E243" s="1">
        <f t="shared" si="24"/>
        <v>1.2566666666666666</v>
      </c>
      <c r="F243">
        <v>1</v>
      </c>
      <c r="G243">
        <f>1</f>
        <v>1</v>
      </c>
      <c r="H243" s="1">
        <f t="shared" si="25"/>
        <v>10.28524199845511</v>
      </c>
      <c r="I243" s="1">
        <f t="shared" si="26"/>
        <v>0</v>
      </c>
      <c r="J243" s="1">
        <f t="shared" si="27"/>
        <v>0</v>
      </c>
      <c r="K243" s="1">
        <f t="shared" si="28"/>
        <v>10.28524199845511</v>
      </c>
      <c r="L243" s="1">
        <f t="shared" si="29"/>
        <v>2947069.6607413366</v>
      </c>
      <c r="M243" s="1">
        <f t="shared" si="30"/>
        <v>-3703484.2069982789</v>
      </c>
    </row>
    <row r="244" spans="1:13" x14ac:dyDescent="0.25">
      <c r="A244">
        <f t="shared" si="31"/>
        <v>240</v>
      </c>
      <c r="B244" s="1">
        <f>A244/6</f>
        <v>40</v>
      </c>
      <c r="C244">
        <v>0.6</v>
      </c>
      <c r="D244">
        <v>1</v>
      </c>
      <c r="E244" s="1">
        <f t="shared" si="24"/>
        <v>1.2566666666666666</v>
      </c>
      <c r="F244">
        <v>1</v>
      </c>
      <c r="G244">
        <f>1</f>
        <v>1</v>
      </c>
      <c r="H244" s="1">
        <f t="shared" si="25"/>
        <v>10.28524199845511</v>
      </c>
      <c r="I244" s="1">
        <f t="shared" si="26"/>
        <v>0</v>
      </c>
      <c r="J244" s="1">
        <f t="shared" si="27"/>
        <v>0</v>
      </c>
      <c r="K244" s="1">
        <f t="shared" si="28"/>
        <v>10.28524199845511</v>
      </c>
      <c r="L244" s="1">
        <f t="shared" si="29"/>
        <v>2701480.522346226</v>
      </c>
      <c r="M244" s="1">
        <f t="shared" si="30"/>
        <v>-3394860.5230817562</v>
      </c>
    </row>
    <row r="245" spans="1:13" x14ac:dyDescent="0.25">
      <c r="A245">
        <f t="shared" si="31"/>
        <v>240</v>
      </c>
      <c r="B245" s="1">
        <f>A245/6.5</f>
        <v>36.92307692307692</v>
      </c>
      <c r="C245">
        <v>0.6</v>
      </c>
      <c r="D245">
        <v>1</v>
      </c>
      <c r="E245" s="1">
        <f t="shared" si="24"/>
        <v>1.2566666666666666</v>
      </c>
      <c r="F245">
        <v>1</v>
      </c>
      <c r="G245">
        <f>1</f>
        <v>1</v>
      </c>
      <c r="H245" s="1">
        <f t="shared" si="25"/>
        <v>10.28524199845511</v>
      </c>
      <c r="I245" s="1">
        <f t="shared" si="26"/>
        <v>0</v>
      </c>
      <c r="J245" s="1">
        <f t="shared" si="27"/>
        <v>0</v>
      </c>
      <c r="K245" s="1">
        <f t="shared" si="28"/>
        <v>10.28524199845511</v>
      </c>
      <c r="L245" s="1">
        <f t="shared" si="29"/>
        <v>2493674.3283195929</v>
      </c>
      <c r="M245" s="1">
        <f t="shared" si="30"/>
        <v>-3133717.4059216208</v>
      </c>
    </row>
    <row r="246" spans="1:13" x14ac:dyDescent="0.25">
      <c r="A246">
        <f t="shared" si="31"/>
        <v>240</v>
      </c>
      <c r="B246" s="1">
        <f>A246/7</f>
        <v>34.285714285714285</v>
      </c>
      <c r="C246">
        <v>0.6</v>
      </c>
      <c r="D246">
        <v>1</v>
      </c>
      <c r="E246" s="1">
        <f t="shared" si="24"/>
        <v>1.2566666666666666</v>
      </c>
      <c r="F246">
        <v>1</v>
      </c>
      <c r="G246">
        <f>1</f>
        <v>1</v>
      </c>
      <c r="H246" s="1">
        <f t="shared" si="25"/>
        <v>10.28524199845511</v>
      </c>
      <c r="I246" s="1">
        <f t="shared" si="26"/>
        <v>0</v>
      </c>
      <c r="J246" s="1">
        <f t="shared" si="27"/>
        <v>0</v>
      </c>
      <c r="K246" s="1">
        <f t="shared" si="28"/>
        <v>10.28524199845511</v>
      </c>
      <c r="L246" s="1">
        <f t="shared" si="29"/>
        <v>2315554.733439622</v>
      </c>
      <c r="M246" s="1">
        <f t="shared" si="30"/>
        <v>-2909880.4483557907</v>
      </c>
    </row>
    <row r="247" spans="1:13" x14ac:dyDescent="0.25">
      <c r="A247">
        <f t="shared" si="31"/>
        <v>240</v>
      </c>
      <c r="B247" s="1">
        <f>A247/7.5</f>
        <v>32</v>
      </c>
      <c r="C247">
        <v>0.6</v>
      </c>
      <c r="D247">
        <v>1</v>
      </c>
      <c r="E247" s="1">
        <f t="shared" si="24"/>
        <v>1.2566666666666666</v>
      </c>
      <c r="F247">
        <v>1</v>
      </c>
      <c r="G247">
        <f>1</f>
        <v>1</v>
      </c>
      <c r="H247" s="1">
        <f t="shared" si="25"/>
        <v>10.28524199845511</v>
      </c>
      <c r="I247" s="1">
        <f t="shared" si="26"/>
        <v>0</v>
      </c>
      <c r="J247" s="1">
        <f t="shared" si="27"/>
        <v>0</v>
      </c>
      <c r="K247" s="1">
        <f t="shared" si="28"/>
        <v>10.28524199845511</v>
      </c>
      <c r="L247" s="1">
        <f t="shared" si="29"/>
        <v>2161184.4178769807</v>
      </c>
      <c r="M247" s="1">
        <f t="shared" si="30"/>
        <v>-2715888.4184654048</v>
      </c>
    </row>
    <row r="248" spans="1:13" x14ac:dyDescent="0.25">
      <c r="A248">
        <f t="shared" si="31"/>
        <v>240</v>
      </c>
      <c r="B248" s="1">
        <f>A248/5</f>
        <v>48</v>
      </c>
      <c r="C248">
        <v>0.7</v>
      </c>
      <c r="D248">
        <v>1</v>
      </c>
      <c r="E248" s="1">
        <f t="shared" si="24"/>
        <v>1.1599999999999999</v>
      </c>
      <c r="F248">
        <v>1</v>
      </c>
      <c r="G248">
        <f>1</f>
        <v>1</v>
      </c>
      <c r="H248" s="1">
        <f t="shared" si="25"/>
        <v>10.28524199845511</v>
      </c>
      <c r="I248" s="1">
        <f t="shared" si="26"/>
        <v>0</v>
      </c>
      <c r="J248" s="1">
        <f t="shared" si="27"/>
        <v>0</v>
      </c>
      <c r="K248" s="1">
        <f t="shared" si="28"/>
        <v>10.28524199845511</v>
      </c>
      <c r="L248" s="1">
        <f t="shared" si="29"/>
        <v>3782072.7312847157</v>
      </c>
      <c r="M248" s="1">
        <f t="shared" si="30"/>
        <v>-4387204.3682902697</v>
      </c>
    </row>
    <row r="249" spans="1:13" x14ac:dyDescent="0.25">
      <c r="A249">
        <f t="shared" si="31"/>
        <v>240</v>
      </c>
      <c r="B249" s="1">
        <f>A249/5.5</f>
        <v>43.636363636363633</v>
      </c>
      <c r="C249">
        <v>0.7</v>
      </c>
      <c r="D249">
        <v>1</v>
      </c>
      <c r="E249" s="1">
        <f t="shared" si="24"/>
        <v>1.1599999999999999</v>
      </c>
      <c r="F249">
        <v>1</v>
      </c>
      <c r="G249">
        <f>1</f>
        <v>1</v>
      </c>
      <c r="H249" s="1">
        <f t="shared" si="25"/>
        <v>10.28524199845511</v>
      </c>
      <c r="I249" s="1">
        <f t="shared" si="26"/>
        <v>0</v>
      </c>
      <c r="J249" s="1">
        <f t="shared" si="27"/>
        <v>0</v>
      </c>
      <c r="K249" s="1">
        <f t="shared" si="28"/>
        <v>10.28524199845511</v>
      </c>
      <c r="L249" s="1">
        <f t="shared" si="29"/>
        <v>3438247.9375315593</v>
      </c>
      <c r="M249" s="1">
        <f t="shared" si="30"/>
        <v>-3988367.6075366084</v>
      </c>
    </row>
    <row r="250" spans="1:13" x14ac:dyDescent="0.25">
      <c r="A250">
        <f t="shared" si="31"/>
        <v>240</v>
      </c>
      <c r="B250" s="1">
        <f>A250/6</f>
        <v>40</v>
      </c>
      <c r="C250">
        <v>0.7</v>
      </c>
      <c r="D250">
        <v>1</v>
      </c>
      <c r="E250" s="1">
        <f t="shared" si="24"/>
        <v>1.1599999999999999</v>
      </c>
      <c r="F250">
        <v>1</v>
      </c>
      <c r="G250">
        <f>1</f>
        <v>1</v>
      </c>
      <c r="H250" s="1">
        <f t="shared" si="25"/>
        <v>10.28524199845511</v>
      </c>
      <c r="I250" s="1">
        <f t="shared" si="26"/>
        <v>0</v>
      </c>
      <c r="J250" s="1">
        <f t="shared" si="27"/>
        <v>0</v>
      </c>
      <c r="K250" s="1">
        <f t="shared" si="28"/>
        <v>10.28524199845511</v>
      </c>
      <c r="L250" s="1">
        <f t="shared" si="29"/>
        <v>3151727.2760705967</v>
      </c>
      <c r="M250" s="1">
        <f t="shared" si="30"/>
        <v>-3656003.6402418911</v>
      </c>
    </row>
    <row r="251" spans="1:13" x14ac:dyDescent="0.25">
      <c r="A251">
        <f t="shared" si="31"/>
        <v>240</v>
      </c>
      <c r="B251" s="1">
        <f>A251/6.5</f>
        <v>36.92307692307692</v>
      </c>
      <c r="C251">
        <v>0.7</v>
      </c>
      <c r="D251">
        <v>1</v>
      </c>
      <c r="E251" s="1">
        <f t="shared" si="24"/>
        <v>1.1599999999999999</v>
      </c>
      <c r="F251">
        <v>1</v>
      </c>
      <c r="G251">
        <f>1</f>
        <v>1</v>
      </c>
      <c r="H251" s="1">
        <f t="shared" si="25"/>
        <v>10.28524199845511</v>
      </c>
      <c r="I251" s="1">
        <f t="shared" si="26"/>
        <v>0</v>
      </c>
      <c r="J251" s="1">
        <f t="shared" si="27"/>
        <v>0</v>
      </c>
      <c r="K251" s="1">
        <f t="shared" si="28"/>
        <v>10.28524199845511</v>
      </c>
      <c r="L251" s="1">
        <f t="shared" si="29"/>
        <v>2909286.7163728583</v>
      </c>
      <c r="M251" s="1">
        <f t="shared" si="30"/>
        <v>-3374772.5909925145</v>
      </c>
    </row>
    <row r="252" spans="1:13" x14ac:dyDescent="0.25">
      <c r="A252">
        <f t="shared" si="31"/>
        <v>240</v>
      </c>
      <c r="B252" s="1">
        <f>A252/7</f>
        <v>34.285714285714285</v>
      </c>
      <c r="C252">
        <v>0.7</v>
      </c>
      <c r="D252">
        <v>1</v>
      </c>
      <c r="E252" s="1">
        <f t="shared" si="24"/>
        <v>1.1599999999999999</v>
      </c>
      <c r="F252">
        <v>1</v>
      </c>
      <c r="G252">
        <f>1</f>
        <v>1</v>
      </c>
      <c r="H252" s="1">
        <f t="shared" si="25"/>
        <v>10.28524199845511</v>
      </c>
      <c r="I252" s="1">
        <f t="shared" si="26"/>
        <v>0</v>
      </c>
      <c r="J252" s="1">
        <f t="shared" si="27"/>
        <v>0</v>
      </c>
      <c r="K252" s="1">
        <f t="shared" si="28"/>
        <v>10.28524199845511</v>
      </c>
      <c r="L252" s="1">
        <f t="shared" si="29"/>
        <v>2701480.5223462256</v>
      </c>
      <c r="M252" s="1">
        <f t="shared" si="30"/>
        <v>-3133717.4059216212</v>
      </c>
    </row>
    <row r="253" spans="1:13" x14ac:dyDescent="0.25">
      <c r="A253">
        <f t="shared" si="31"/>
        <v>240</v>
      </c>
      <c r="B253" s="1">
        <f>A253/7.5</f>
        <v>32</v>
      </c>
      <c r="C253">
        <v>0.7</v>
      </c>
      <c r="D253">
        <v>1</v>
      </c>
      <c r="E253" s="1">
        <f t="shared" si="24"/>
        <v>1.1599999999999999</v>
      </c>
      <c r="F253">
        <v>1</v>
      </c>
      <c r="G253">
        <f>1</f>
        <v>1</v>
      </c>
      <c r="H253" s="1">
        <f t="shared" si="25"/>
        <v>10.28524199845511</v>
      </c>
      <c r="I253" s="1">
        <f t="shared" si="26"/>
        <v>0</v>
      </c>
      <c r="J253" s="1">
        <f t="shared" si="27"/>
        <v>0</v>
      </c>
      <c r="K253" s="1">
        <f t="shared" si="28"/>
        <v>10.28524199845511</v>
      </c>
      <c r="L253" s="1">
        <f t="shared" si="29"/>
        <v>2521381.8208564771</v>
      </c>
      <c r="M253" s="1">
        <f t="shared" si="30"/>
        <v>-2924802.912193513</v>
      </c>
    </row>
    <row r="254" spans="1:13" x14ac:dyDescent="0.25">
      <c r="A254">
        <f t="shared" si="31"/>
        <v>240</v>
      </c>
      <c r="B254" s="1">
        <f>A254/5</f>
        <v>48</v>
      </c>
      <c r="C254">
        <v>0.8</v>
      </c>
      <c r="D254">
        <v>1</v>
      </c>
      <c r="E254" s="1">
        <f t="shared" si="24"/>
        <v>1.0874999999999997</v>
      </c>
      <c r="F254">
        <v>1</v>
      </c>
      <c r="G254">
        <f>1</f>
        <v>1</v>
      </c>
      <c r="H254" s="1">
        <f t="shared" si="25"/>
        <v>10.28524199845511</v>
      </c>
      <c r="I254" s="1">
        <f t="shared" si="26"/>
        <v>0</v>
      </c>
      <c r="J254" s="1">
        <f t="shared" si="27"/>
        <v>0</v>
      </c>
      <c r="K254" s="1">
        <f t="shared" si="28"/>
        <v>10.28524199845511</v>
      </c>
      <c r="L254" s="1">
        <f t="shared" si="29"/>
        <v>4322368.8357539615</v>
      </c>
      <c r="M254" s="1">
        <f t="shared" si="30"/>
        <v>-4700576.1088824309</v>
      </c>
    </row>
    <row r="255" spans="1:13" x14ac:dyDescent="0.25">
      <c r="A255">
        <f t="shared" si="31"/>
        <v>240</v>
      </c>
      <c r="B255" s="1">
        <f>A255/5.5</f>
        <v>43.636363636363633</v>
      </c>
      <c r="C255">
        <v>0.8</v>
      </c>
      <c r="D255">
        <v>1</v>
      </c>
      <c r="E255" s="1">
        <f t="shared" si="24"/>
        <v>1.0874999999999997</v>
      </c>
      <c r="F255">
        <v>1</v>
      </c>
      <c r="G255">
        <f>1</f>
        <v>1</v>
      </c>
      <c r="H255" s="1">
        <f t="shared" si="25"/>
        <v>10.28524199845511</v>
      </c>
      <c r="I255" s="1">
        <f t="shared" si="26"/>
        <v>0</v>
      </c>
      <c r="J255" s="1">
        <f t="shared" si="27"/>
        <v>0</v>
      </c>
      <c r="K255" s="1">
        <f t="shared" si="28"/>
        <v>10.28524199845511</v>
      </c>
      <c r="L255" s="1">
        <f t="shared" si="29"/>
        <v>3929426.2143217828</v>
      </c>
      <c r="M255" s="1">
        <f t="shared" si="30"/>
        <v>-4273251.0080749374</v>
      </c>
    </row>
    <row r="256" spans="1:13" x14ac:dyDescent="0.25">
      <c r="A256">
        <f t="shared" si="31"/>
        <v>240</v>
      </c>
      <c r="B256" s="1">
        <f>A256/6</f>
        <v>40</v>
      </c>
      <c r="C256">
        <v>0.8</v>
      </c>
      <c r="D256">
        <v>1</v>
      </c>
      <c r="E256" s="1">
        <f t="shared" si="24"/>
        <v>1.0874999999999997</v>
      </c>
      <c r="F256">
        <v>1</v>
      </c>
      <c r="G256">
        <f>1</f>
        <v>1</v>
      </c>
      <c r="H256" s="1">
        <f t="shared" si="25"/>
        <v>10.28524199845511</v>
      </c>
      <c r="I256" s="1">
        <f t="shared" si="26"/>
        <v>0</v>
      </c>
      <c r="J256" s="1">
        <f t="shared" si="27"/>
        <v>0</v>
      </c>
      <c r="K256" s="1">
        <f t="shared" si="28"/>
        <v>10.28524199845511</v>
      </c>
      <c r="L256" s="1">
        <f t="shared" si="29"/>
        <v>3601974.0297949682</v>
      </c>
      <c r="M256" s="1">
        <f t="shared" si="30"/>
        <v>-3917146.7574020261</v>
      </c>
    </row>
    <row r="257" spans="1:13" x14ac:dyDescent="0.25">
      <c r="A257">
        <f t="shared" si="31"/>
        <v>240</v>
      </c>
      <c r="B257" s="1">
        <f>A257/6.5</f>
        <v>36.92307692307692</v>
      </c>
      <c r="C257">
        <v>0.8</v>
      </c>
      <c r="D257">
        <v>1</v>
      </c>
      <c r="E257" s="1">
        <f t="shared" si="24"/>
        <v>1.0874999999999997</v>
      </c>
      <c r="F257">
        <v>1</v>
      </c>
      <c r="G257">
        <f>1</f>
        <v>1</v>
      </c>
      <c r="H257" s="1">
        <f t="shared" si="25"/>
        <v>10.28524199845511</v>
      </c>
      <c r="I257" s="1">
        <f t="shared" si="26"/>
        <v>0</v>
      </c>
      <c r="J257" s="1">
        <f t="shared" si="27"/>
        <v>0</v>
      </c>
      <c r="K257" s="1">
        <f t="shared" si="28"/>
        <v>10.28524199845511</v>
      </c>
      <c r="L257" s="1">
        <f t="shared" si="29"/>
        <v>3324899.1044261241</v>
      </c>
      <c r="M257" s="1">
        <f t="shared" si="30"/>
        <v>-3615827.7760634082</v>
      </c>
    </row>
    <row r="258" spans="1:13" x14ac:dyDescent="0.25">
      <c r="A258">
        <f t="shared" si="31"/>
        <v>240</v>
      </c>
      <c r="B258" s="1">
        <f>A258/7</f>
        <v>34.285714285714285</v>
      </c>
      <c r="C258">
        <v>0.8</v>
      </c>
      <c r="D258">
        <v>1</v>
      </c>
      <c r="E258" s="1">
        <f t="shared" si="24"/>
        <v>1.0874999999999997</v>
      </c>
      <c r="F258">
        <v>1</v>
      </c>
      <c r="G258">
        <f>1</f>
        <v>1</v>
      </c>
      <c r="H258" s="1">
        <f t="shared" si="25"/>
        <v>10.28524199845511</v>
      </c>
      <c r="I258" s="1">
        <f t="shared" si="26"/>
        <v>0</v>
      </c>
      <c r="J258" s="1">
        <f t="shared" si="27"/>
        <v>0</v>
      </c>
      <c r="K258" s="1">
        <f t="shared" si="28"/>
        <v>10.28524199845511</v>
      </c>
      <c r="L258" s="1">
        <f t="shared" si="29"/>
        <v>3087406.3112528296</v>
      </c>
      <c r="M258" s="1">
        <f t="shared" si="30"/>
        <v>-3357554.3634874509</v>
      </c>
    </row>
    <row r="259" spans="1:13" x14ac:dyDescent="0.25">
      <c r="A259">
        <f t="shared" si="31"/>
        <v>240</v>
      </c>
      <c r="B259" s="1">
        <f>A259/7.5</f>
        <v>32</v>
      </c>
      <c r="C259">
        <v>0.8</v>
      </c>
      <c r="D259">
        <v>1</v>
      </c>
      <c r="E259" s="1">
        <f t="shared" ref="E259:E322" si="32">0.58*(C259+0.7)/C259</f>
        <v>1.0874999999999997</v>
      </c>
      <c r="F259">
        <v>1</v>
      </c>
      <c r="G259">
        <f>1</f>
        <v>1</v>
      </c>
      <c r="H259" s="1">
        <f t="shared" ref="H259:H322" si="33">IF(AND(A259&gt;=90,A259&lt;300),10.75-POWER((300-A259)/100,1.5),0)</f>
        <v>10.28524199845511</v>
      </c>
      <c r="I259" s="1">
        <f t="shared" ref="I259:I322" si="34">IF(AND(A259&gt;=300,A259&lt;350),10.75,0)</f>
        <v>0</v>
      </c>
      <c r="J259" s="1">
        <f t="shared" ref="J259:J322" si="35">IF(A259&gt;=350,10.75-POWER((A259-350)/150,1.5),0)</f>
        <v>0</v>
      </c>
      <c r="K259" s="1">
        <f t="shared" ref="K259:K322" si="36">SUM(H259:J259)</f>
        <v>10.28524199845511</v>
      </c>
      <c r="L259" s="1">
        <f t="shared" ref="L259:L322" si="37">0.19*D259*F259*G259*K259*A259*A259*B259*C259</f>
        <v>2881579.2238359745</v>
      </c>
      <c r="M259" s="1">
        <f t="shared" ref="M259:M322" si="38">-0.19*E259*F259*G259*K259*A259*A259*B259*C259</f>
        <v>-3133717.4059216208</v>
      </c>
    </row>
    <row r="260" spans="1:13" x14ac:dyDescent="0.25">
      <c r="A260">
        <f t="shared" si="31"/>
        <v>240</v>
      </c>
      <c r="B260" s="1">
        <f>A260/5</f>
        <v>48</v>
      </c>
      <c r="C260">
        <v>0.9</v>
      </c>
      <c r="D260">
        <v>1</v>
      </c>
      <c r="E260" s="1">
        <f t="shared" si="32"/>
        <v>1.0311111111111111</v>
      </c>
      <c r="F260">
        <v>1</v>
      </c>
      <c r="G260">
        <f>1</f>
        <v>1</v>
      </c>
      <c r="H260" s="1">
        <f t="shared" si="33"/>
        <v>10.28524199845511</v>
      </c>
      <c r="I260" s="1">
        <f t="shared" si="34"/>
        <v>0</v>
      </c>
      <c r="J260" s="1">
        <f t="shared" si="35"/>
        <v>0</v>
      </c>
      <c r="K260" s="1">
        <f t="shared" si="36"/>
        <v>10.28524199845511</v>
      </c>
      <c r="L260" s="1">
        <f t="shared" si="37"/>
        <v>4862664.9402232058</v>
      </c>
      <c r="M260" s="1">
        <f t="shared" si="38"/>
        <v>-5013947.8494745949</v>
      </c>
    </row>
    <row r="261" spans="1:13" x14ac:dyDescent="0.25">
      <c r="A261">
        <f t="shared" si="31"/>
        <v>240</v>
      </c>
      <c r="B261" s="1">
        <f>A261/5.5</f>
        <v>43.636363636363633</v>
      </c>
      <c r="C261">
        <v>0.9</v>
      </c>
      <c r="D261">
        <v>1</v>
      </c>
      <c r="E261" s="1">
        <f t="shared" si="32"/>
        <v>1.0311111111111111</v>
      </c>
      <c r="F261">
        <v>1</v>
      </c>
      <c r="G261">
        <f>1</f>
        <v>1</v>
      </c>
      <c r="H261" s="1">
        <f t="shared" si="33"/>
        <v>10.28524199845511</v>
      </c>
      <c r="I261" s="1">
        <f t="shared" si="34"/>
        <v>0</v>
      </c>
      <c r="J261" s="1">
        <f t="shared" si="35"/>
        <v>0</v>
      </c>
      <c r="K261" s="1">
        <f t="shared" si="36"/>
        <v>10.28524199845511</v>
      </c>
      <c r="L261" s="1">
        <f t="shared" si="37"/>
        <v>4420604.491112005</v>
      </c>
      <c r="M261" s="1">
        <f t="shared" si="38"/>
        <v>-4558134.4086132683</v>
      </c>
    </row>
    <row r="262" spans="1:13" x14ac:dyDescent="0.25">
      <c r="A262">
        <f t="shared" si="31"/>
        <v>240</v>
      </c>
      <c r="B262" s="1">
        <f>A262/6</f>
        <v>40</v>
      </c>
      <c r="C262">
        <v>0.9</v>
      </c>
      <c r="D262">
        <v>1</v>
      </c>
      <c r="E262" s="1">
        <f t="shared" si="32"/>
        <v>1.0311111111111111</v>
      </c>
      <c r="F262">
        <v>1</v>
      </c>
      <c r="G262">
        <f>1</f>
        <v>1</v>
      </c>
      <c r="H262" s="1">
        <f t="shared" si="33"/>
        <v>10.28524199845511</v>
      </c>
      <c r="I262" s="1">
        <f t="shared" si="34"/>
        <v>0</v>
      </c>
      <c r="J262" s="1">
        <f t="shared" si="35"/>
        <v>0</v>
      </c>
      <c r="K262" s="1">
        <f t="shared" si="36"/>
        <v>10.28524199845511</v>
      </c>
      <c r="L262" s="1">
        <f t="shared" si="37"/>
        <v>4052220.7835193388</v>
      </c>
      <c r="M262" s="1">
        <f t="shared" si="38"/>
        <v>-4178289.8745621624</v>
      </c>
    </row>
    <row r="263" spans="1:13" x14ac:dyDescent="0.25">
      <c r="A263">
        <f t="shared" si="31"/>
        <v>240</v>
      </c>
      <c r="B263" s="1">
        <f>A263/6.5</f>
        <v>36.92307692307692</v>
      </c>
      <c r="C263">
        <v>0.9</v>
      </c>
      <c r="D263">
        <v>1</v>
      </c>
      <c r="E263" s="1">
        <f t="shared" si="32"/>
        <v>1.0311111111111111</v>
      </c>
      <c r="F263">
        <v>1</v>
      </c>
      <c r="G263">
        <f>1</f>
        <v>1</v>
      </c>
      <c r="H263" s="1">
        <f t="shared" si="33"/>
        <v>10.28524199845511</v>
      </c>
      <c r="I263" s="1">
        <f t="shared" si="34"/>
        <v>0</v>
      </c>
      <c r="J263" s="1">
        <f t="shared" si="35"/>
        <v>0</v>
      </c>
      <c r="K263" s="1">
        <f t="shared" si="36"/>
        <v>10.28524199845511</v>
      </c>
      <c r="L263" s="1">
        <f t="shared" si="37"/>
        <v>3740511.4924793895</v>
      </c>
      <c r="M263" s="1">
        <f t="shared" si="38"/>
        <v>-3856882.9611343034</v>
      </c>
    </row>
    <row r="264" spans="1:13" x14ac:dyDescent="0.25">
      <c r="A264">
        <f t="shared" si="31"/>
        <v>240</v>
      </c>
      <c r="B264" s="1">
        <f>A264/7</f>
        <v>34.285714285714285</v>
      </c>
      <c r="C264">
        <v>0.9</v>
      </c>
      <c r="D264">
        <v>1</v>
      </c>
      <c r="E264" s="1">
        <f t="shared" si="32"/>
        <v>1.0311111111111111</v>
      </c>
      <c r="F264">
        <v>1</v>
      </c>
      <c r="G264">
        <f>1</f>
        <v>1</v>
      </c>
      <c r="H264" s="1">
        <f t="shared" si="33"/>
        <v>10.28524199845511</v>
      </c>
      <c r="I264" s="1">
        <f t="shared" si="34"/>
        <v>0</v>
      </c>
      <c r="J264" s="1">
        <f t="shared" si="35"/>
        <v>0</v>
      </c>
      <c r="K264" s="1">
        <f t="shared" si="36"/>
        <v>10.28524199845511</v>
      </c>
      <c r="L264" s="1">
        <f t="shared" si="37"/>
        <v>3473332.1001594332</v>
      </c>
      <c r="M264" s="1">
        <f t="shared" si="38"/>
        <v>-3581391.3210532819</v>
      </c>
    </row>
    <row r="265" spans="1:13" x14ac:dyDescent="0.25">
      <c r="A265">
        <f t="shared" si="31"/>
        <v>240</v>
      </c>
      <c r="B265" s="1">
        <f>A265/7.5</f>
        <v>32</v>
      </c>
      <c r="C265">
        <v>0.9</v>
      </c>
      <c r="D265">
        <v>1</v>
      </c>
      <c r="E265" s="1">
        <f t="shared" si="32"/>
        <v>1.0311111111111111</v>
      </c>
      <c r="F265">
        <v>1</v>
      </c>
      <c r="G265">
        <f>1</f>
        <v>1</v>
      </c>
      <c r="H265" s="1">
        <f t="shared" si="33"/>
        <v>10.28524199845511</v>
      </c>
      <c r="I265" s="1">
        <f t="shared" si="34"/>
        <v>0</v>
      </c>
      <c r="J265" s="1">
        <f t="shared" si="35"/>
        <v>0</v>
      </c>
      <c r="K265" s="1">
        <f t="shared" si="36"/>
        <v>10.28524199845511</v>
      </c>
      <c r="L265" s="1">
        <f t="shared" si="37"/>
        <v>3241776.6268154709</v>
      </c>
      <c r="M265" s="1">
        <f t="shared" si="38"/>
        <v>-3342631.89964973</v>
      </c>
    </row>
    <row r="266" spans="1:13" x14ac:dyDescent="0.25">
      <c r="A266">
        <f>A242+15</f>
        <v>255</v>
      </c>
      <c r="B266" s="1">
        <f>A266/5</f>
        <v>51</v>
      </c>
      <c r="C266">
        <v>0.6</v>
      </c>
      <c r="D266">
        <v>1</v>
      </c>
      <c r="E266" s="1">
        <f t="shared" si="32"/>
        <v>1.2566666666666666</v>
      </c>
      <c r="F266">
        <v>1</v>
      </c>
      <c r="G266">
        <f>1</f>
        <v>1</v>
      </c>
      <c r="H266" s="1">
        <f t="shared" si="33"/>
        <v>10.448130823037529</v>
      </c>
      <c r="I266" s="1">
        <f t="shared" si="34"/>
        <v>0</v>
      </c>
      <c r="J266" s="1">
        <f t="shared" si="35"/>
        <v>0</v>
      </c>
      <c r="K266" s="1">
        <f t="shared" si="36"/>
        <v>10.448130823037529</v>
      </c>
      <c r="L266" s="1">
        <f t="shared" si="37"/>
        <v>3949971.7551492411</v>
      </c>
      <c r="M266" s="1">
        <f t="shared" si="38"/>
        <v>-4963797.83897088</v>
      </c>
    </row>
    <row r="267" spans="1:13" x14ac:dyDescent="0.25">
      <c r="A267">
        <f t="shared" ref="A267:A330" si="39">A243+15</f>
        <v>255</v>
      </c>
      <c r="B267" s="1">
        <f>A267/5.5</f>
        <v>46.363636363636367</v>
      </c>
      <c r="C267">
        <v>0.6</v>
      </c>
      <c r="D267">
        <v>1</v>
      </c>
      <c r="E267" s="1">
        <f t="shared" si="32"/>
        <v>1.2566666666666666</v>
      </c>
      <c r="F267">
        <v>1</v>
      </c>
      <c r="G267">
        <f>1</f>
        <v>1</v>
      </c>
      <c r="H267" s="1">
        <f t="shared" si="33"/>
        <v>10.448130823037529</v>
      </c>
      <c r="I267" s="1">
        <f t="shared" si="34"/>
        <v>0</v>
      </c>
      <c r="J267" s="1">
        <f t="shared" si="35"/>
        <v>0</v>
      </c>
      <c r="K267" s="1">
        <f t="shared" si="36"/>
        <v>10.448130823037529</v>
      </c>
      <c r="L267" s="1">
        <f t="shared" si="37"/>
        <v>3590883.4137720377</v>
      </c>
      <c r="M267" s="1">
        <f t="shared" si="38"/>
        <v>-4512543.4899735274</v>
      </c>
    </row>
    <row r="268" spans="1:13" x14ac:dyDescent="0.25">
      <c r="A268">
        <f t="shared" si="39"/>
        <v>255</v>
      </c>
      <c r="B268" s="1">
        <f>A268/6</f>
        <v>42.5</v>
      </c>
      <c r="C268">
        <v>0.6</v>
      </c>
      <c r="D268">
        <v>1</v>
      </c>
      <c r="E268" s="1">
        <f t="shared" si="32"/>
        <v>1.2566666666666666</v>
      </c>
      <c r="F268">
        <v>1</v>
      </c>
      <c r="G268">
        <f>1</f>
        <v>1</v>
      </c>
      <c r="H268" s="1">
        <f t="shared" si="33"/>
        <v>10.448130823037529</v>
      </c>
      <c r="I268" s="1">
        <f t="shared" si="34"/>
        <v>0</v>
      </c>
      <c r="J268" s="1">
        <f t="shared" si="35"/>
        <v>0</v>
      </c>
      <c r="K268" s="1">
        <f t="shared" si="36"/>
        <v>10.448130823037529</v>
      </c>
      <c r="L268" s="1">
        <f t="shared" si="37"/>
        <v>3291643.1292910343</v>
      </c>
      <c r="M268" s="1">
        <f t="shared" si="38"/>
        <v>-4136498.1991424002</v>
      </c>
    </row>
    <row r="269" spans="1:13" x14ac:dyDescent="0.25">
      <c r="A269">
        <f t="shared" si="39"/>
        <v>255</v>
      </c>
      <c r="B269" s="1">
        <f>A269/6.5</f>
        <v>39.230769230769234</v>
      </c>
      <c r="C269">
        <v>0.6</v>
      </c>
      <c r="D269">
        <v>1</v>
      </c>
      <c r="E269" s="1">
        <f t="shared" si="32"/>
        <v>1.2566666666666666</v>
      </c>
      <c r="F269">
        <v>1</v>
      </c>
      <c r="G269">
        <f>1</f>
        <v>1</v>
      </c>
      <c r="H269" s="1">
        <f t="shared" si="33"/>
        <v>10.448130823037529</v>
      </c>
      <c r="I269" s="1">
        <f t="shared" si="34"/>
        <v>0</v>
      </c>
      <c r="J269" s="1">
        <f t="shared" si="35"/>
        <v>0</v>
      </c>
      <c r="K269" s="1">
        <f t="shared" si="36"/>
        <v>10.448130823037529</v>
      </c>
      <c r="L269" s="1">
        <f t="shared" si="37"/>
        <v>3038439.8116532625</v>
      </c>
      <c r="M269" s="1">
        <f t="shared" si="38"/>
        <v>-3818306.0299776001</v>
      </c>
    </row>
    <row r="270" spans="1:13" x14ac:dyDescent="0.25">
      <c r="A270">
        <f t="shared" si="39"/>
        <v>255</v>
      </c>
      <c r="B270" s="1">
        <f>A270/7</f>
        <v>36.428571428571431</v>
      </c>
      <c r="C270">
        <v>0.6</v>
      </c>
      <c r="D270">
        <v>1</v>
      </c>
      <c r="E270" s="1">
        <f t="shared" si="32"/>
        <v>1.2566666666666666</v>
      </c>
      <c r="F270">
        <v>1</v>
      </c>
      <c r="G270">
        <f>1</f>
        <v>1</v>
      </c>
      <c r="H270" s="1">
        <f t="shared" si="33"/>
        <v>10.448130823037529</v>
      </c>
      <c r="I270" s="1">
        <f t="shared" si="34"/>
        <v>0</v>
      </c>
      <c r="J270" s="1">
        <f t="shared" si="35"/>
        <v>0</v>
      </c>
      <c r="K270" s="1">
        <f t="shared" si="36"/>
        <v>10.448130823037529</v>
      </c>
      <c r="L270" s="1">
        <f t="shared" si="37"/>
        <v>2821408.3965351726</v>
      </c>
      <c r="M270" s="1">
        <f t="shared" si="38"/>
        <v>-3545569.8849792005</v>
      </c>
    </row>
    <row r="271" spans="1:13" x14ac:dyDescent="0.25">
      <c r="A271">
        <f t="shared" si="39"/>
        <v>255</v>
      </c>
      <c r="B271" s="1">
        <f>A271/7.5</f>
        <v>34</v>
      </c>
      <c r="C271">
        <v>0.6</v>
      </c>
      <c r="D271">
        <v>1</v>
      </c>
      <c r="E271" s="1">
        <f t="shared" si="32"/>
        <v>1.2566666666666666</v>
      </c>
      <c r="F271">
        <v>1</v>
      </c>
      <c r="G271">
        <f>1</f>
        <v>1</v>
      </c>
      <c r="H271" s="1">
        <f t="shared" si="33"/>
        <v>10.448130823037529</v>
      </c>
      <c r="I271" s="1">
        <f t="shared" si="34"/>
        <v>0</v>
      </c>
      <c r="J271" s="1">
        <f t="shared" si="35"/>
        <v>0</v>
      </c>
      <c r="K271" s="1">
        <f t="shared" si="36"/>
        <v>10.448130823037529</v>
      </c>
      <c r="L271" s="1">
        <f t="shared" si="37"/>
        <v>2633314.5034328275</v>
      </c>
      <c r="M271" s="1">
        <f t="shared" si="38"/>
        <v>-3309198.5593139199</v>
      </c>
    </row>
    <row r="272" spans="1:13" x14ac:dyDescent="0.25">
      <c r="A272">
        <f t="shared" si="39"/>
        <v>255</v>
      </c>
      <c r="B272" s="1">
        <f>A272/5</f>
        <v>51</v>
      </c>
      <c r="C272">
        <v>0.7</v>
      </c>
      <c r="D272">
        <v>1</v>
      </c>
      <c r="E272" s="1">
        <f t="shared" si="32"/>
        <v>1.1599999999999999</v>
      </c>
      <c r="F272">
        <v>1</v>
      </c>
      <c r="G272">
        <f>1</f>
        <v>1</v>
      </c>
      <c r="H272" s="1">
        <f t="shared" si="33"/>
        <v>10.448130823037529</v>
      </c>
      <c r="I272" s="1">
        <f t="shared" si="34"/>
        <v>0</v>
      </c>
      <c r="J272" s="1">
        <f t="shared" si="35"/>
        <v>0</v>
      </c>
      <c r="K272" s="1">
        <f t="shared" si="36"/>
        <v>10.448130823037529</v>
      </c>
      <c r="L272" s="1">
        <f t="shared" si="37"/>
        <v>4608300.3810074478</v>
      </c>
      <c r="M272" s="1">
        <f t="shared" si="38"/>
        <v>-5345628.4419686394</v>
      </c>
    </row>
    <row r="273" spans="1:13" x14ac:dyDescent="0.25">
      <c r="A273">
        <f t="shared" si="39"/>
        <v>255</v>
      </c>
      <c r="B273" s="1">
        <f>A273/5.5</f>
        <v>46.363636363636367</v>
      </c>
      <c r="C273">
        <v>0.7</v>
      </c>
      <c r="D273">
        <v>1</v>
      </c>
      <c r="E273" s="1">
        <f t="shared" si="32"/>
        <v>1.1599999999999999</v>
      </c>
      <c r="F273">
        <v>1</v>
      </c>
      <c r="G273">
        <f>1</f>
        <v>1</v>
      </c>
      <c r="H273" s="1">
        <f t="shared" si="33"/>
        <v>10.448130823037529</v>
      </c>
      <c r="I273" s="1">
        <f t="shared" si="34"/>
        <v>0</v>
      </c>
      <c r="J273" s="1">
        <f t="shared" si="35"/>
        <v>0</v>
      </c>
      <c r="K273" s="1">
        <f t="shared" si="36"/>
        <v>10.448130823037529</v>
      </c>
      <c r="L273" s="1">
        <f t="shared" si="37"/>
        <v>4189363.9827340436</v>
      </c>
      <c r="M273" s="1">
        <f t="shared" si="38"/>
        <v>-4859662.219971491</v>
      </c>
    </row>
    <row r="274" spans="1:13" x14ac:dyDescent="0.25">
      <c r="A274">
        <f t="shared" si="39"/>
        <v>255</v>
      </c>
      <c r="B274" s="1">
        <f>A274/6</f>
        <v>42.5</v>
      </c>
      <c r="C274">
        <v>0.7</v>
      </c>
      <c r="D274">
        <v>1</v>
      </c>
      <c r="E274" s="1">
        <f t="shared" si="32"/>
        <v>1.1599999999999999</v>
      </c>
      <c r="F274">
        <v>1</v>
      </c>
      <c r="G274">
        <f>1</f>
        <v>1</v>
      </c>
      <c r="H274" s="1">
        <f t="shared" si="33"/>
        <v>10.448130823037529</v>
      </c>
      <c r="I274" s="1">
        <f t="shared" si="34"/>
        <v>0</v>
      </c>
      <c r="J274" s="1">
        <f t="shared" si="35"/>
        <v>0</v>
      </c>
      <c r="K274" s="1">
        <f t="shared" si="36"/>
        <v>10.448130823037529</v>
      </c>
      <c r="L274" s="1">
        <f t="shared" si="37"/>
        <v>3840250.3175062062</v>
      </c>
      <c r="M274" s="1">
        <f t="shared" si="38"/>
        <v>-4454690.3683071993</v>
      </c>
    </row>
    <row r="275" spans="1:13" x14ac:dyDescent="0.25">
      <c r="A275">
        <f t="shared" si="39"/>
        <v>255</v>
      </c>
      <c r="B275" s="1">
        <f>A275/6.5</f>
        <v>39.230769230769234</v>
      </c>
      <c r="C275">
        <v>0.7</v>
      </c>
      <c r="D275">
        <v>1</v>
      </c>
      <c r="E275" s="1">
        <f t="shared" si="32"/>
        <v>1.1599999999999999</v>
      </c>
      <c r="F275">
        <v>1</v>
      </c>
      <c r="G275">
        <f>1</f>
        <v>1</v>
      </c>
      <c r="H275" s="1">
        <f t="shared" si="33"/>
        <v>10.448130823037529</v>
      </c>
      <c r="I275" s="1">
        <f t="shared" si="34"/>
        <v>0</v>
      </c>
      <c r="J275" s="1">
        <f t="shared" si="35"/>
        <v>0</v>
      </c>
      <c r="K275" s="1">
        <f t="shared" si="36"/>
        <v>10.448130823037529</v>
      </c>
      <c r="L275" s="1">
        <f t="shared" si="37"/>
        <v>3544846.4469288061</v>
      </c>
      <c r="M275" s="1">
        <f t="shared" si="38"/>
        <v>-4112021.8784374157</v>
      </c>
    </row>
    <row r="276" spans="1:13" x14ac:dyDescent="0.25">
      <c r="A276">
        <f t="shared" si="39"/>
        <v>255</v>
      </c>
      <c r="B276" s="1">
        <f>A276/7</f>
        <v>36.428571428571431</v>
      </c>
      <c r="C276">
        <v>0.7</v>
      </c>
      <c r="D276">
        <v>1</v>
      </c>
      <c r="E276" s="1">
        <f t="shared" si="32"/>
        <v>1.1599999999999999</v>
      </c>
      <c r="F276">
        <v>1</v>
      </c>
      <c r="G276">
        <f>1</f>
        <v>1</v>
      </c>
      <c r="H276" s="1">
        <f t="shared" si="33"/>
        <v>10.448130823037529</v>
      </c>
      <c r="I276" s="1">
        <f t="shared" si="34"/>
        <v>0</v>
      </c>
      <c r="J276" s="1">
        <f t="shared" si="35"/>
        <v>0</v>
      </c>
      <c r="K276" s="1">
        <f t="shared" si="36"/>
        <v>10.448130823037529</v>
      </c>
      <c r="L276" s="1">
        <f t="shared" si="37"/>
        <v>3291643.1292910343</v>
      </c>
      <c r="M276" s="1">
        <f t="shared" si="38"/>
        <v>-3818306.0299775996</v>
      </c>
    </row>
    <row r="277" spans="1:13" x14ac:dyDescent="0.25">
      <c r="A277">
        <f t="shared" si="39"/>
        <v>255</v>
      </c>
      <c r="B277" s="1">
        <f>A277/7.5</f>
        <v>34</v>
      </c>
      <c r="C277">
        <v>0.7</v>
      </c>
      <c r="D277">
        <v>1</v>
      </c>
      <c r="E277" s="1">
        <f t="shared" si="32"/>
        <v>1.1599999999999999</v>
      </c>
      <c r="F277">
        <v>1</v>
      </c>
      <c r="G277">
        <f>1</f>
        <v>1</v>
      </c>
      <c r="H277" s="1">
        <f t="shared" si="33"/>
        <v>10.448130823037529</v>
      </c>
      <c r="I277" s="1">
        <f t="shared" si="34"/>
        <v>0</v>
      </c>
      <c r="J277" s="1">
        <f t="shared" si="35"/>
        <v>0</v>
      </c>
      <c r="K277" s="1">
        <f t="shared" si="36"/>
        <v>10.448130823037529</v>
      </c>
      <c r="L277" s="1">
        <f t="shared" si="37"/>
        <v>3072200.2540049651</v>
      </c>
      <c r="M277" s="1">
        <f t="shared" si="38"/>
        <v>-3563752.2946457602</v>
      </c>
    </row>
    <row r="278" spans="1:13" x14ac:dyDescent="0.25">
      <c r="A278">
        <f t="shared" si="39"/>
        <v>255</v>
      </c>
      <c r="B278" s="1">
        <f>A278/5</f>
        <v>51</v>
      </c>
      <c r="C278">
        <v>0.8</v>
      </c>
      <c r="D278">
        <v>1</v>
      </c>
      <c r="E278" s="1">
        <f t="shared" si="32"/>
        <v>1.0874999999999997</v>
      </c>
      <c r="F278">
        <v>1</v>
      </c>
      <c r="G278">
        <f>1</f>
        <v>1</v>
      </c>
      <c r="H278" s="1">
        <f t="shared" si="33"/>
        <v>10.448130823037529</v>
      </c>
      <c r="I278" s="1">
        <f t="shared" si="34"/>
        <v>0</v>
      </c>
      <c r="J278" s="1">
        <f t="shared" si="35"/>
        <v>0</v>
      </c>
      <c r="K278" s="1">
        <f t="shared" si="36"/>
        <v>10.448130823037529</v>
      </c>
      <c r="L278" s="1">
        <f t="shared" si="37"/>
        <v>5266629.0068656551</v>
      </c>
      <c r="M278" s="1">
        <f t="shared" si="38"/>
        <v>-5727459.0449663978</v>
      </c>
    </row>
    <row r="279" spans="1:13" x14ac:dyDescent="0.25">
      <c r="A279">
        <f t="shared" si="39"/>
        <v>255</v>
      </c>
      <c r="B279" s="1">
        <f>A279/5.5</f>
        <v>46.363636363636367</v>
      </c>
      <c r="C279">
        <v>0.8</v>
      </c>
      <c r="D279">
        <v>1</v>
      </c>
      <c r="E279" s="1">
        <f t="shared" si="32"/>
        <v>1.0874999999999997</v>
      </c>
      <c r="F279">
        <v>1</v>
      </c>
      <c r="G279">
        <f>1</f>
        <v>1</v>
      </c>
      <c r="H279" s="1">
        <f t="shared" si="33"/>
        <v>10.448130823037529</v>
      </c>
      <c r="I279" s="1">
        <f t="shared" si="34"/>
        <v>0</v>
      </c>
      <c r="J279" s="1">
        <f t="shared" si="35"/>
        <v>0</v>
      </c>
      <c r="K279" s="1">
        <f t="shared" si="36"/>
        <v>10.448130823037529</v>
      </c>
      <c r="L279" s="1">
        <f t="shared" si="37"/>
        <v>4787844.55169605</v>
      </c>
      <c r="M279" s="1">
        <f t="shared" si="38"/>
        <v>-5206780.9499694528</v>
      </c>
    </row>
    <row r="280" spans="1:13" x14ac:dyDescent="0.25">
      <c r="A280">
        <f t="shared" si="39"/>
        <v>255</v>
      </c>
      <c r="B280" s="1">
        <f>A280/6</f>
        <v>42.5</v>
      </c>
      <c r="C280">
        <v>0.8</v>
      </c>
      <c r="D280">
        <v>1</v>
      </c>
      <c r="E280" s="1">
        <f t="shared" si="32"/>
        <v>1.0874999999999997</v>
      </c>
      <c r="F280">
        <v>1</v>
      </c>
      <c r="G280">
        <f>1</f>
        <v>1</v>
      </c>
      <c r="H280" s="1">
        <f t="shared" si="33"/>
        <v>10.448130823037529</v>
      </c>
      <c r="I280" s="1">
        <f t="shared" si="34"/>
        <v>0</v>
      </c>
      <c r="J280" s="1">
        <f t="shared" si="35"/>
        <v>0</v>
      </c>
      <c r="K280" s="1">
        <f t="shared" si="36"/>
        <v>10.448130823037529</v>
      </c>
      <c r="L280" s="1">
        <f t="shared" si="37"/>
        <v>4388857.5057213791</v>
      </c>
      <c r="M280" s="1">
        <f t="shared" si="38"/>
        <v>-4772882.5374719976</v>
      </c>
    </row>
    <row r="281" spans="1:13" x14ac:dyDescent="0.25">
      <c r="A281">
        <f t="shared" si="39"/>
        <v>255</v>
      </c>
      <c r="B281" s="1">
        <f>A281/6.5</f>
        <v>39.230769230769234</v>
      </c>
      <c r="C281">
        <v>0.8</v>
      </c>
      <c r="D281">
        <v>1</v>
      </c>
      <c r="E281" s="1">
        <f t="shared" si="32"/>
        <v>1.0874999999999997</v>
      </c>
      <c r="F281">
        <v>1</v>
      </c>
      <c r="G281">
        <f>1</f>
        <v>1</v>
      </c>
      <c r="H281" s="1">
        <f t="shared" si="33"/>
        <v>10.448130823037529</v>
      </c>
      <c r="I281" s="1">
        <f t="shared" si="34"/>
        <v>0</v>
      </c>
      <c r="J281" s="1">
        <f t="shared" si="35"/>
        <v>0</v>
      </c>
      <c r="K281" s="1">
        <f t="shared" si="36"/>
        <v>10.448130823037529</v>
      </c>
      <c r="L281" s="1">
        <f t="shared" si="37"/>
        <v>4051253.0822043503</v>
      </c>
      <c r="M281" s="1">
        <f t="shared" si="38"/>
        <v>-4405737.7268972294</v>
      </c>
    </row>
    <row r="282" spans="1:13" x14ac:dyDescent="0.25">
      <c r="A282">
        <f t="shared" si="39"/>
        <v>255</v>
      </c>
      <c r="B282" s="1">
        <f>A282/7</f>
        <v>36.428571428571431</v>
      </c>
      <c r="C282">
        <v>0.8</v>
      </c>
      <c r="D282">
        <v>1</v>
      </c>
      <c r="E282" s="1">
        <f t="shared" si="32"/>
        <v>1.0874999999999997</v>
      </c>
      <c r="F282">
        <v>1</v>
      </c>
      <c r="G282">
        <f>1</f>
        <v>1</v>
      </c>
      <c r="H282" s="1">
        <f t="shared" si="33"/>
        <v>10.448130823037529</v>
      </c>
      <c r="I282" s="1">
        <f t="shared" si="34"/>
        <v>0</v>
      </c>
      <c r="J282" s="1">
        <f t="shared" si="35"/>
        <v>0</v>
      </c>
      <c r="K282" s="1">
        <f t="shared" si="36"/>
        <v>10.448130823037529</v>
      </c>
      <c r="L282" s="1">
        <f t="shared" si="37"/>
        <v>3761877.8620468969</v>
      </c>
      <c r="M282" s="1">
        <f t="shared" si="38"/>
        <v>-4091042.1749759987</v>
      </c>
    </row>
    <row r="283" spans="1:13" x14ac:dyDescent="0.25">
      <c r="A283">
        <f t="shared" si="39"/>
        <v>255</v>
      </c>
      <c r="B283" s="1">
        <f>A283/7.5</f>
        <v>34</v>
      </c>
      <c r="C283">
        <v>0.8</v>
      </c>
      <c r="D283">
        <v>1</v>
      </c>
      <c r="E283" s="1">
        <f t="shared" si="32"/>
        <v>1.0874999999999997</v>
      </c>
      <c r="F283">
        <v>1</v>
      </c>
      <c r="G283">
        <f>1</f>
        <v>1</v>
      </c>
      <c r="H283" s="1">
        <f t="shared" si="33"/>
        <v>10.448130823037529</v>
      </c>
      <c r="I283" s="1">
        <f t="shared" si="34"/>
        <v>0</v>
      </c>
      <c r="J283" s="1">
        <f t="shared" si="35"/>
        <v>0</v>
      </c>
      <c r="K283" s="1">
        <f t="shared" si="36"/>
        <v>10.448130823037529</v>
      </c>
      <c r="L283" s="1">
        <f t="shared" si="37"/>
        <v>3511086.0045771035</v>
      </c>
      <c r="M283" s="1">
        <f t="shared" si="38"/>
        <v>-3818306.0299775982</v>
      </c>
    </row>
    <row r="284" spans="1:13" x14ac:dyDescent="0.25">
      <c r="A284">
        <f t="shared" si="39"/>
        <v>255</v>
      </c>
      <c r="B284" s="1">
        <f>A284/5</f>
        <v>51</v>
      </c>
      <c r="C284">
        <v>0.9</v>
      </c>
      <c r="D284">
        <v>1</v>
      </c>
      <c r="E284" s="1">
        <f t="shared" si="32"/>
        <v>1.0311111111111111</v>
      </c>
      <c r="F284">
        <v>1</v>
      </c>
      <c r="G284">
        <f>1</f>
        <v>1</v>
      </c>
      <c r="H284" s="1">
        <f t="shared" si="33"/>
        <v>10.448130823037529</v>
      </c>
      <c r="I284" s="1">
        <f t="shared" si="34"/>
        <v>0</v>
      </c>
      <c r="J284" s="1">
        <f t="shared" si="35"/>
        <v>0</v>
      </c>
      <c r="K284" s="1">
        <f t="shared" si="36"/>
        <v>10.448130823037529</v>
      </c>
      <c r="L284" s="1">
        <f t="shared" si="37"/>
        <v>5924957.6327238623</v>
      </c>
      <c r="M284" s="1">
        <f t="shared" si="38"/>
        <v>-6109289.6479641609</v>
      </c>
    </row>
    <row r="285" spans="1:13" x14ac:dyDescent="0.25">
      <c r="A285">
        <f t="shared" si="39"/>
        <v>255</v>
      </c>
      <c r="B285" s="1">
        <f>A285/5.5</f>
        <v>46.363636363636367</v>
      </c>
      <c r="C285">
        <v>0.9</v>
      </c>
      <c r="D285">
        <v>1</v>
      </c>
      <c r="E285" s="1">
        <f t="shared" si="32"/>
        <v>1.0311111111111111</v>
      </c>
      <c r="F285">
        <v>1</v>
      </c>
      <c r="G285">
        <f>1</f>
        <v>1</v>
      </c>
      <c r="H285" s="1">
        <f t="shared" si="33"/>
        <v>10.448130823037529</v>
      </c>
      <c r="I285" s="1">
        <f t="shared" si="34"/>
        <v>0</v>
      </c>
      <c r="J285" s="1">
        <f t="shared" si="35"/>
        <v>0</v>
      </c>
      <c r="K285" s="1">
        <f t="shared" si="36"/>
        <v>10.448130823037529</v>
      </c>
      <c r="L285" s="1">
        <f t="shared" si="37"/>
        <v>5386325.1206580568</v>
      </c>
      <c r="M285" s="1">
        <f t="shared" si="38"/>
        <v>-5553899.6799674192</v>
      </c>
    </row>
    <row r="286" spans="1:13" x14ac:dyDescent="0.25">
      <c r="A286">
        <f t="shared" si="39"/>
        <v>255</v>
      </c>
      <c r="B286" s="1">
        <f>A286/6</f>
        <v>42.5</v>
      </c>
      <c r="C286">
        <v>0.9</v>
      </c>
      <c r="D286">
        <v>1</v>
      </c>
      <c r="E286" s="1">
        <f t="shared" si="32"/>
        <v>1.0311111111111111</v>
      </c>
      <c r="F286">
        <v>1</v>
      </c>
      <c r="G286">
        <f>1</f>
        <v>1</v>
      </c>
      <c r="H286" s="1">
        <f t="shared" si="33"/>
        <v>10.448130823037529</v>
      </c>
      <c r="I286" s="1">
        <f t="shared" si="34"/>
        <v>0</v>
      </c>
      <c r="J286" s="1">
        <f t="shared" si="35"/>
        <v>0</v>
      </c>
      <c r="K286" s="1">
        <f t="shared" si="36"/>
        <v>10.448130823037529</v>
      </c>
      <c r="L286" s="1">
        <f t="shared" si="37"/>
        <v>4937464.6939365519</v>
      </c>
      <c r="M286" s="1">
        <f t="shared" si="38"/>
        <v>-5091074.7066368004</v>
      </c>
    </row>
    <row r="287" spans="1:13" x14ac:dyDescent="0.25">
      <c r="A287">
        <f t="shared" si="39"/>
        <v>255</v>
      </c>
      <c r="B287" s="1">
        <f>A287/6.5</f>
        <v>39.230769230769234</v>
      </c>
      <c r="C287">
        <v>0.9</v>
      </c>
      <c r="D287">
        <v>1</v>
      </c>
      <c r="E287" s="1">
        <f t="shared" si="32"/>
        <v>1.0311111111111111</v>
      </c>
      <c r="F287">
        <v>1</v>
      </c>
      <c r="G287">
        <f>1</f>
        <v>1</v>
      </c>
      <c r="H287" s="1">
        <f t="shared" si="33"/>
        <v>10.448130823037529</v>
      </c>
      <c r="I287" s="1">
        <f t="shared" si="34"/>
        <v>0</v>
      </c>
      <c r="J287" s="1">
        <f t="shared" si="35"/>
        <v>0</v>
      </c>
      <c r="K287" s="1">
        <f t="shared" si="36"/>
        <v>10.448130823037529</v>
      </c>
      <c r="L287" s="1">
        <f t="shared" si="37"/>
        <v>4557659.7174798939</v>
      </c>
      <c r="M287" s="1">
        <f t="shared" si="38"/>
        <v>-4699453.5753570469</v>
      </c>
    </row>
    <row r="288" spans="1:13" x14ac:dyDescent="0.25">
      <c r="A288">
        <f t="shared" si="39"/>
        <v>255</v>
      </c>
      <c r="B288" s="1">
        <f>A288/7</f>
        <v>36.428571428571431</v>
      </c>
      <c r="C288">
        <v>0.9</v>
      </c>
      <c r="D288">
        <v>1</v>
      </c>
      <c r="E288" s="1">
        <f t="shared" si="32"/>
        <v>1.0311111111111111</v>
      </c>
      <c r="F288">
        <v>1</v>
      </c>
      <c r="G288">
        <f>1</f>
        <v>1</v>
      </c>
      <c r="H288" s="1">
        <f t="shared" si="33"/>
        <v>10.448130823037529</v>
      </c>
      <c r="I288" s="1">
        <f t="shared" si="34"/>
        <v>0</v>
      </c>
      <c r="J288" s="1">
        <f t="shared" si="35"/>
        <v>0</v>
      </c>
      <c r="K288" s="1">
        <f t="shared" si="36"/>
        <v>10.448130823037529</v>
      </c>
      <c r="L288" s="1">
        <f t="shared" si="37"/>
        <v>4232112.5948027587</v>
      </c>
      <c r="M288" s="1">
        <f t="shared" si="38"/>
        <v>-4363778.319974401</v>
      </c>
    </row>
    <row r="289" spans="1:13" x14ac:dyDescent="0.25">
      <c r="A289">
        <f t="shared" si="39"/>
        <v>255</v>
      </c>
      <c r="B289" s="1">
        <f>A289/7.5</f>
        <v>34</v>
      </c>
      <c r="C289">
        <v>0.9</v>
      </c>
      <c r="D289">
        <v>1</v>
      </c>
      <c r="E289" s="1">
        <f t="shared" si="32"/>
        <v>1.0311111111111111</v>
      </c>
      <c r="F289">
        <v>1</v>
      </c>
      <c r="G289">
        <f>1</f>
        <v>1</v>
      </c>
      <c r="H289" s="1">
        <f t="shared" si="33"/>
        <v>10.448130823037529</v>
      </c>
      <c r="I289" s="1">
        <f t="shared" si="34"/>
        <v>0</v>
      </c>
      <c r="J289" s="1">
        <f t="shared" si="35"/>
        <v>0</v>
      </c>
      <c r="K289" s="1">
        <f t="shared" si="36"/>
        <v>10.448130823037529</v>
      </c>
      <c r="L289" s="1">
        <f t="shared" si="37"/>
        <v>3949971.7551492411</v>
      </c>
      <c r="M289" s="1">
        <f t="shared" si="38"/>
        <v>-4072859.7653094404</v>
      </c>
    </row>
    <row r="290" spans="1:13" x14ac:dyDescent="0.25">
      <c r="A290">
        <f t="shared" si="39"/>
        <v>270</v>
      </c>
      <c r="B290" s="1">
        <f>A290/5</f>
        <v>54</v>
      </c>
      <c r="C290">
        <v>0.6</v>
      </c>
      <c r="D290">
        <v>1</v>
      </c>
      <c r="E290" s="1">
        <f t="shared" si="32"/>
        <v>1.2566666666666666</v>
      </c>
      <c r="F290">
        <v>1</v>
      </c>
      <c r="G290">
        <f>1</f>
        <v>1</v>
      </c>
      <c r="H290" s="1">
        <f t="shared" si="33"/>
        <v>10.585683232748449</v>
      </c>
      <c r="I290" s="1">
        <f t="shared" si="34"/>
        <v>0</v>
      </c>
      <c r="J290" s="1">
        <f t="shared" si="35"/>
        <v>0</v>
      </c>
      <c r="K290" s="1">
        <f t="shared" si="36"/>
        <v>10.585683232748449</v>
      </c>
      <c r="L290" s="1">
        <f t="shared" si="37"/>
        <v>4750562.4700002791</v>
      </c>
      <c r="M290" s="1">
        <f t="shared" si="38"/>
        <v>-5969873.5039670188</v>
      </c>
    </row>
    <row r="291" spans="1:13" x14ac:dyDescent="0.25">
      <c r="A291">
        <f t="shared" si="39"/>
        <v>270</v>
      </c>
      <c r="B291" s="1">
        <f>A291/5.5</f>
        <v>49.090909090909093</v>
      </c>
      <c r="C291">
        <v>0.6</v>
      </c>
      <c r="D291">
        <v>1</v>
      </c>
      <c r="E291" s="1">
        <f t="shared" si="32"/>
        <v>1.2566666666666666</v>
      </c>
      <c r="F291">
        <v>1</v>
      </c>
      <c r="G291">
        <f>1</f>
        <v>1</v>
      </c>
      <c r="H291" s="1">
        <f t="shared" si="33"/>
        <v>10.585683232748449</v>
      </c>
      <c r="I291" s="1">
        <f t="shared" si="34"/>
        <v>0</v>
      </c>
      <c r="J291" s="1">
        <f t="shared" si="35"/>
        <v>0</v>
      </c>
      <c r="K291" s="1">
        <f t="shared" si="36"/>
        <v>10.585683232748449</v>
      </c>
      <c r="L291" s="1">
        <f t="shared" si="37"/>
        <v>4318693.1545457086</v>
      </c>
      <c r="M291" s="1">
        <f t="shared" si="38"/>
        <v>-5427157.7308791084</v>
      </c>
    </row>
    <row r="292" spans="1:13" x14ac:dyDescent="0.25">
      <c r="A292">
        <f t="shared" si="39"/>
        <v>270</v>
      </c>
      <c r="B292" s="1">
        <f>A292/6</f>
        <v>45</v>
      </c>
      <c r="C292">
        <v>0.6</v>
      </c>
      <c r="D292">
        <v>1</v>
      </c>
      <c r="E292" s="1">
        <f t="shared" si="32"/>
        <v>1.2566666666666666</v>
      </c>
      <c r="F292">
        <v>1</v>
      </c>
      <c r="G292">
        <f>1</f>
        <v>1</v>
      </c>
      <c r="H292" s="1">
        <f t="shared" si="33"/>
        <v>10.585683232748449</v>
      </c>
      <c r="I292" s="1">
        <f t="shared" si="34"/>
        <v>0</v>
      </c>
      <c r="J292" s="1">
        <f t="shared" si="35"/>
        <v>0</v>
      </c>
      <c r="K292" s="1">
        <f t="shared" si="36"/>
        <v>10.585683232748449</v>
      </c>
      <c r="L292" s="1">
        <f t="shared" si="37"/>
        <v>3958802.0583335659</v>
      </c>
      <c r="M292" s="1">
        <f t="shared" si="38"/>
        <v>-4974894.5866391817</v>
      </c>
    </row>
    <row r="293" spans="1:13" x14ac:dyDescent="0.25">
      <c r="A293">
        <f t="shared" si="39"/>
        <v>270</v>
      </c>
      <c r="B293" s="1">
        <f>A293/6.5</f>
        <v>41.53846153846154</v>
      </c>
      <c r="C293">
        <v>0.6</v>
      </c>
      <c r="D293">
        <v>1</v>
      </c>
      <c r="E293" s="1">
        <f t="shared" si="32"/>
        <v>1.2566666666666666</v>
      </c>
      <c r="F293">
        <v>1</v>
      </c>
      <c r="G293">
        <f>1</f>
        <v>1</v>
      </c>
      <c r="H293" s="1">
        <f t="shared" si="33"/>
        <v>10.585683232748449</v>
      </c>
      <c r="I293" s="1">
        <f t="shared" si="34"/>
        <v>0</v>
      </c>
      <c r="J293" s="1">
        <f t="shared" si="35"/>
        <v>0</v>
      </c>
      <c r="K293" s="1">
        <f t="shared" si="36"/>
        <v>10.585683232748449</v>
      </c>
      <c r="L293" s="1">
        <f t="shared" si="37"/>
        <v>3654278.823077138</v>
      </c>
      <c r="M293" s="1">
        <f t="shared" si="38"/>
        <v>-4592210.387666937</v>
      </c>
    </row>
    <row r="294" spans="1:13" x14ac:dyDescent="0.25">
      <c r="A294">
        <f t="shared" si="39"/>
        <v>270</v>
      </c>
      <c r="B294" s="1">
        <f>A294/7</f>
        <v>38.571428571428569</v>
      </c>
      <c r="C294">
        <v>0.6</v>
      </c>
      <c r="D294">
        <v>1</v>
      </c>
      <c r="E294" s="1">
        <f t="shared" si="32"/>
        <v>1.2566666666666666</v>
      </c>
      <c r="F294">
        <v>1</v>
      </c>
      <c r="G294">
        <f>1</f>
        <v>1</v>
      </c>
      <c r="H294" s="1">
        <f t="shared" si="33"/>
        <v>10.585683232748449</v>
      </c>
      <c r="I294" s="1">
        <f t="shared" si="34"/>
        <v>0</v>
      </c>
      <c r="J294" s="1">
        <f t="shared" si="35"/>
        <v>0</v>
      </c>
      <c r="K294" s="1">
        <f t="shared" si="36"/>
        <v>10.585683232748449</v>
      </c>
      <c r="L294" s="1">
        <f t="shared" si="37"/>
        <v>3393258.9071430559</v>
      </c>
      <c r="M294" s="1">
        <f t="shared" si="38"/>
        <v>-4264195.3599764416</v>
      </c>
    </row>
    <row r="295" spans="1:13" x14ac:dyDescent="0.25">
      <c r="A295">
        <f t="shared" si="39"/>
        <v>270</v>
      </c>
      <c r="B295" s="1">
        <f>A295/7.5</f>
        <v>36</v>
      </c>
      <c r="C295">
        <v>0.6</v>
      </c>
      <c r="D295">
        <v>1</v>
      </c>
      <c r="E295" s="1">
        <f t="shared" si="32"/>
        <v>1.2566666666666666</v>
      </c>
      <c r="F295">
        <v>1</v>
      </c>
      <c r="G295">
        <f>1</f>
        <v>1</v>
      </c>
      <c r="H295" s="1">
        <f t="shared" si="33"/>
        <v>10.585683232748449</v>
      </c>
      <c r="I295" s="1">
        <f t="shared" si="34"/>
        <v>0</v>
      </c>
      <c r="J295" s="1">
        <f t="shared" si="35"/>
        <v>0</v>
      </c>
      <c r="K295" s="1">
        <f t="shared" si="36"/>
        <v>10.585683232748449</v>
      </c>
      <c r="L295" s="1">
        <f t="shared" si="37"/>
        <v>3167041.6466668528</v>
      </c>
      <c r="M295" s="1">
        <f t="shared" si="38"/>
        <v>-3979915.669311346</v>
      </c>
    </row>
    <row r="296" spans="1:13" x14ac:dyDescent="0.25">
      <c r="A296">
        <f t="shared" si="39"/>
        <v>270</v>
      </c>
      <c r="B296" s="1">
        <f>A296/5</f>
        <v>54</v>
      </c>
      <c r="C296">
        <v>0.7</v>
      </c>
      <c r="D296">
        <v>1</v>
      </c>
      <c r="E296" s="1">
        <f t="shared" si="32"/>
        <v>1.1599999999999999</v>
      </c>
      <c r="F296">
        <v>1</v>
      </c>
      <c r="G296">
        <f>1</f>
        <v>1</v>
      </c>
      <c r="H296" s="1">
        <f t="shared" si="33"/>
        <v>10.585683232748449</v>
      </c>
      <c r="I296" s="1">
        <f t="shared" si="34"/>
        <v>0</v>
      </c>
      <c r="J296" s="1">
        <f t="shared" si="35"/>
        <v>0</v>
      </c>
      <c r="K296" s="1">
        <f t="shared" si="36"/>
        <v>10.585683232748449</v>
      </c>
      <c r="L296" s="1">
        <f t="shared" si="37"/>
        <v>5542322.8816669919</v>
      </c>
      <c r="M296" s="1">
        <f t="shared" si="38"/>
        <v>-6429094.5427337112</v>
      </c>
    </row>
    <row r="297" spans="1:13" x14ac:dyDescent="0.25">
      <c r="A297">
        <f t="shared" si="39"/>
        <v>270</v>
      </c>
      <c r="B297" s="1">
        <f>A297/5.5</f>
        <v>49.090909090909093</v>
      </c>
      <c r="C297">
        <v>0.7</v>
      </c>
      <c r="D297">
        <v>1</v>
      </c>
      <c r="E297" s="1">
        <f t="shared" si="32"/>
        <v>1.1599999999999999</v>
      </c>
      <c r="F297">
        <v>1</v>
      </c>
      <c r="G297">
        <f>1</f>
        <v>1</v>
      </c>
      <c r="H297" s="1">
        <f t="shared" si="33"/>
        <v>10.585683232748449</v>
      </c>
      <c r="I297" s="1">
        <f t="shared" si="34"/>
        <v>0</v>
      </c>
      <c r="J297" s="1">
        <f t="shared" si="35"/>
        <v>0</v>
      </c>
      <c r="K297" s="1">
        <f t="shared" si="36"/>
        <v>10.585683232748449</v>
      </c>
      <c r="L297" s="1">
        <f t="shared" si="37"/>
        <v>5038475.3469699929</v>
      </c>
      <c r="M297" s="1">
        <f t="shared" si="38"/>
        <v>-5844631.4024851928</v>
      </c>
    </row>
    <row r="298" spans="1:13" x14ac:dyDescent="0.25">
      <c r="A298">
        <f t="shared" si="39"/>
        <v>270</v>
      </c>
      <c r="B298" s="1">
        <f>A298/6</f>
        <v>45</v>
      </c>
      <c r="C298">
        <v>0.7</v>
      </c>
      <c r="D298">
        <v>1</v>
      </c>
      <c r="E298" s="1">
        <f t="shared" si="32"/>
        <v>1.1599999999999999</v>
      </c>
      <c r="F298">
        <v>1</v>
      </c>
      <c r="G298">
        <f>1</f>
        <v>1</v>
      </c>
      <c r="H298" s="1">
        <f t="shared" si="33"/>
        <v>10.585683232748449</v>
      </c>
      <c r="I298" s="1">
        <f t="shared" si="34"/>
        <v>0</v>
      </c>
      <c r="J298" s="1">
        <f t="shared" si="35"/>
        <v>0</v>
      </c>
      <c r="K298" s="1">
        <f t="shared" si="36"/>
        <v>10.585683232748449</v>
      </c>
      <c r="L298" s="1">
        <f t="shared" si="37"/>
        <v>4618602.4013891602</v>
      </c>
      <c r="M298" s="1">
        <f t="shared" si="38"/>
        <v>-5357578.7856114265</v>
      </c>
    </row>
    <row r="299" spans="1:13" x14ac:dyDescent="0.25">
      <c r="A299">
        <f t="shared" si="39"/>
        <v>270</v>
      </c>
      <c r="B299" s="1">
        <f>A299/6.5</f>
        <v>41.53846153846154</v>
      </c>
      <c r="C299">
        <v>0.7</v>
      </c>
      <c r="D299">
        <v>1</v>
      </c>
      <c r="E299" s="1">
        <f t="shared" si="32"/>
        <v>1.1599999999999999</v>
      </c>
      <c r="F299">
        <v>1</v>
      </c>
      <c r="G299">
        <f>1</f>
        <v>1</v>
      </c>
      <c r="H299" s="1">
        <f t="shared" si="33"/>
        <v>10.585683232748449</v>
      </c>
      <c r="I299" s="1">
        <f t="shared" si="34"/>
        <v>0</v>
      </c>
      <c r="J299" s="1">
        <f t="shared" si="35"/>
        <v>0</v>
      </c>
      <c r="K299" s="1">
        <f t="shared" si="36"/>
        <v>10.585683232748449</v>
      </c>
      <c r="L299" s="1">
        <f t="shared" si="37"/>
        <v>4263325.2935899943</v>
      </c>
      <c r="M299" s="1">
        <f t="shared" si="38"/>
        <v>-4945457.3405643934</v>
      </c>
    </row>
    <row r="300" spans="1:13" x14ac:dyDescent="0.25">
      <c r="A300">
        <f t="shared" si="39"/>
        <v>270</v>
      </c>
      <c r="B300" s="1">
        <f>A300/7</f>
        <v>38.571428571428569</v>
      </c>
      <c r="C300">
        <v>0.7</v>
      </c>
      <c r="D300">
        <v>1</v>
      </c>
      <c r="E300" s="1">
        <f t="shared" si="32"/>
        <v>1.1599999999999999</v>
      </c>
      <c r="F300">
        <v>1</v>
      </c>
      <c r="G300">
        <f>1</f>
        <v>1</v>
      </c>
      <c r="H300" s="1">
        <f t="shared" si="33"/>
        <v>10.585683232748449</v>
      </c>
      <c r="I300" s="1">
        <f t="shared" si="34"/>
        <v>0</v>
      </c>
      <c r="J300" s="1">
        <f t="shared" si="35"/>
        <v>0</v>
      </c>
      <c r="K300" s="1">
        <f t="shared" si="36"/>
        <v>10.585683232748449</v>
      </c>
      <c r="L300" s="1">
        <f t="shared" si="37"/>
        <v>3958802.0583335655</v>
      </c>
      <c r="M300" s="1">
        <f t="shared" si="38"/>
        <v>-4592210.387666937</v>
      </c>
    </row>
    <row r="301" spans="1:13" x14ac:dyDescent="0.25">
      <c r="A301">
        <f t="shared" si="39"/>
        <v>270</v>
      </c>
      <c r="B301" s="1">
        <f>A301/7.5</f>
        <v>36</v>
      </c>
      <c r="C301">
        <v>0.7</v>
      </c>
      <c r="D301">
        <v>1</v>
      </c>
      <c r="E301" s="1">
        <f t="shared" si="32"/>
        <v>1.1599999999999999</v>
      </c>
      <c r="F301">
        <v>1</v>
      </c>
      <c r="G301">
        <f>1</f>
        <v>1</v>
      </c>
      <c r="H301" s="1">
        <f t="shared" si="33"/>
        <v>10.585683232748449</v>
      </c>
      <c r="I301" s="1">
        <f t="shared" si="34"/>
        <v>0</v>
      </c>
      <c r="J301" s="1">
        <f t="shared" si="35"/>
        <v>0</v>
      </c>
      <c r="K301" s="1">
        <f t="shared" si="36"/>
        <v>10.585683232748449</v>
      </c>
      <c r="L301" s="1">
        <f t="shared" si="37"/>
        <v>3694881.9211113281</v>
      </c>
      <c r="M301" s="1">
        <f t="shared" si="38"/>
        <v>-4286063.0284891408</v>
      </c>
    </row>
    <row r="302" spans="1:13" x14ac:dyDescent="0.25">
      <c r="A302">
        <f t="shared" si="39"/>
        <v>270</v>
      </c>
      <c r="B302" s="1">
        <f>A302/5</f>
        <v>54</v>
      </c>
      <c r="C302">
        <v>0.8</v>
      </c>
      <c r="D302">
        <v>1</v>
      </c>
      <c r="E302" s="1">
        <f t="shared" si="32"/>
        <v>1.0874999999999997</v>
      </c>
      <c r="F302">
        <v>1</v>
      </c>
      <c r="G302">
        <f>1</f>
        <v>1</v>
      </c>
      <c r="H302" s="1">
        <f t="shared" si="33"/>
        <v>10.585683232748449</v>
      </c>
      <c r="I302" s="1">
        <f t="shared" si="34"/>
        <v>0</v>
      </c>
      <c r="J302" s="1">
        <f t="shared" si="35"/>
        <v>0</v>
      </c>
      <c r="K302" s="1">
        <f t="shared" si="36"/>
        <v>10.585683232748449</v>
      </c>
      <c r="L302" s="1">
        <f t="shared" si="37"/>
        <v>6334083.2933337055</v>
      </c>
      <c r="M302" s="1">
        <f t="shared" si="38"/>
        <v>-6888315.5815004036</v>
      </c>
    </row>
    <row r="303" spans="1:13" x14ac:dyDescent="0.25">
      <c r="A303">
        <f t="shared" si="39"/>
        <v>270</v>
      </c>
      <c r="B303" s="1">
        <f>A303/5.5</f>
        <v>49.090909090909093</v>
      </c>
      <c r="C303">
        <v>0.8</v>
      </c>
      <c r="D303">
        <v>1</v>
      </c>
      <c r="E303" s="1">
        <f t="shared" si="32"/>
        <v>1.0874999999999997</v>
      </c>
      <c r="F303">
        <v>1</v>
      </c>
      <c r="G303">
        <f>1</f>
        <v>1</v>
      </c>
      <c r="H303" s="1">
        <f t="shared" si="33"/>
        <v>10.585683232748449</v>
      </c>
      <c r="I303" s="1">
        <f t="shared" si="34"/>
        <v>0</v>
      </c>
      <c r="J303" s="1">
        <f t="shared" si="35"/>
        <v>0</v>
      </c>
      <c r="K303" s="1">
        <f t="shared" si="36"/>
        <v>10.585683232748449</v>
      </c>
      <c r="L303" s="1">
        <f t="shared" si="37"/>
        <v>5758257.5393942781</v>
      </c>
      <c r="M303" s="1">
        <f t="shared" si="38"/>
        <v>-6262105.0740912762</v>
      </c>
    </row>
    <row r="304" spans="1:13" x14ac:dyDescent="0.25">
      <c r="A304">
        <f t="shared" si="39"/>
        <v>270</v>
      </c>
      <c r="B304" s="1">
        <f>A304/6</f>
        <v>45</v>
      </c>
      <c r="C304">
        <v>0.8</v>
      </c>
      <c r="D304">
        <v>1</v>
      </c>
      <c r="E304" s="1">
        <f t="shared" si="32"/>
        <v>1.0874999999999997</v>
      </c>
      <c r="F304">
        <v>1</v>
      </c>
      <c r="G304">
        <f>1</f>
        <v>1</v>
      </c>
      <c r="H304" s="1">
        <f t="shared" si="33"/>
        <v>10.585683232748449</v>
      </c>
      <c r="I304" s="1">
        <f t="shared" si="34"/>
        <v>0</v>
      </c>
      <c r="J304" s="1">
        <f t="shared" si="35"/>
        <v>0</v>
      </c>
      <c r="K304" s="1">
        <f t="shared" si="36"/>
        <v>10.585683232748449</v>
      </c>
      <c r="L304" s="1">
        <f t="shared" si="37"/>
        <v>5278402.7444447549</v>
      </c>
      <c r="M304" s="1">
        <f t="shared" si="38"/>
        <v>-5740262.9845836693</v>
      </c>
    </row>
    <row r="305" spans="1:13" x14ac:dyDescent="0.25">
      <c r="A305">
        <f t="shared" si="39"/>
        <v>270</v>
      </c>
      <c r="B305" s="1">
        <f>A305/6.5</f>
        <v>41.53846153846154</v>
      </c>
      <c r="C305">
        <v>0.8</v>
      </c>
      <c r="D305">
        <v>1</v>
      </c>
      <c r="E305" s="1">
        <f t="shared" si="32"/>
        <v>1.0874999999999997</v>
      </c>
      <c r="F305">
        <v>1</v>
      </c>
      <c r="G305">
        <f>1</f>
        <v>1</v>
      </c>
      <c r="H305" s="1">
        <f t="shared" si="33"/>
        <v>10.585683232748449</v>
      </c>
      <c r="I305" s="1">
        <f t="shared" si="34"/>
        <v>0</v>
      </c>
      <c r="J305" s="1">
        <f t="shared" si="35"/>
        <v>0</v>
      </c>
      <c r="K305" s="1">
        <f t="shared" si="36"/>
        <v>10.585683232748449</v>
      </c>
      <c r="L305" s="1">
        <f t="shared" si="37"/>
        <v>4872371.764102851</v>
      </c>
      <c r="M305" s="1">
        <f t="shared" si="38"/>
        <v>-5298704.293461849</v>
      </c>
    </row>
    <row r="306" spans="1:13" x14ac:dyDescent="0.25">
      <c r="A306">
        <f t="shared" si="39"/>
        <v>270</v>
      </c>
      <c r="B306" s="1">
        <f>A306/7</f>
        <v>38.571428571428569</v>
      </c>
      <c r="C306">
        <v>0.8</v>
      </c>
      <c r="D306">
        <v>1</v>
      </c>
      <c r="E306" s="1">
        <f t="shared" si="32"/>
        <v>1.0874999999999997</v>
      </c>
      <c r="F306">
        <v>1</v>
      </c>
      <c r="G306">
        <f>1</f>
        <v>1</v>
      </c>
      <c r="H306" s="1">
        <f t="shared" si="33"/>
        <v>10.585683232748449</v>
      </c>
      <c r="I306" s="1">
        <f t="shared" si="34"/>
        <v>0</v>
      </c>
      <c r="J306" s="1">
        <f t="shared" si="35"/>
        <v>0</v>
      </c>
      <c r="K306" s="1">
        <f t="shared" si="36"/>
        <v>10.585683232748449</v>
      </c>
      <c r="L306" s="1">
        <f t="shared" si="37"/>
        <v>4524345.2095240755</v>
      </c>
      <c r="M306" s="1">
        <f t="shared" si="38"/>
        <v>-4920225.4153574314</v>
      </c>
    </row>
    <row r="307" spans="1:13" x14ac:dyDescent="0.25">
      <c r="A307">
        <f t="shared" si="39"/>
        <v>270</v>
      </c>
      <c r="B307" s="1">
        <f>A307/7.5</f>
        <v>36</v>
      </c>
      <c r="C307">
        <v>0.8</v>
      </c>
      <c r="D307">
        <v>1</v>
      </c>
      <c r="E307" s="1">
        <f t="shared" si="32"/>
        <v>1.0874999999999997</v>
      </c>
      <c r="F307">
        <v>1</v>
      </c>
      <c r="G307">
        <f>1</f>
        <v>1</v>
      </c>
      <c r="H307" s="1">
        <f t="shared" si="33"/>
        <v>10.585683232748449</v>
      </c>
      <c r="I307" s="1">
        <f t="shared" si="34"/>
        <v>0</v>
      </c>
      <c r="J307" s="1">
        <f t="shared" si="35"/>
        <v>0</v>
      </c>
      <c r="K307" s="1">
        <f t="shared" si="36"/>
        <v>10.585683232748449</v>
      </c>
      <c r="L307" s="1">
        <f t="shared" si="37"/>
        <v>4222722.1955558043</v>
      </c>
      <c r="M307" s="1">
        <f t="shared" si="38"/>
        <v>-4592210.387666936</v>
      </c>
    </row>
    <row r="308" spans="1:13" x14ac:dyDescent="0.25">
      <c r="A308">
        <f t="shared" si="39"/>
        <v>270</v>
      </c>
      <c r="B308" s="1">
        <f>A308/5</f>
        <v>54</v>
      </c>
      <c r="C308">
        <v>0.9</v>
      </c>
      <c r="D308">
        <v>1</v>
      </c>
      <c r="E308" s="1">
        <f t="shared" si="32"/>
        <v>1.0311111111111111</v>
      </c>
      <c r="F308">
        <v>1</v>
      </c>
      <c r="G308">
        <f>1</f>
        <v>1</v>
      </c>
      <c r="H308" s="1">
        <f t="shared" si="33"/>
        <v>10.585683232748449</v>
      </c>
      <c r="I308" s="1">
        <f t="shared" si="34"/>
        <v>0</v>
      </c>
      <c r="J308" s="1">
        <f t="shared" si="35"/>
        <v>0</v>
      </c>
      <c r="K308" s="1">
        <f t="shared" si="36"/>
        <v>10.585683232748449</v>
      </c>
      <c r="L308" s="1">
        <f t="shared" si="37"/>
        <v>7125843.7050004192</v>
      </c>
      <c r="M308" s="1">
        <f t="shared" si="38"/>
        <v>-7347536.6202671006</v>
      </c>
    </row>
    <row r="309" spans="1:13" x14ac:dyDescent="0.25">
      <c r="A309">
        <f t="shared" si="39"/>
        <v>270</v>
      </c>
      <c r="B309" s="1">
        <f>A309/5.5</f>
        <v>49.090909090909093</v>
      </c>
      <c r="C309">
        <v>0.9</v>
      </c>
      <c r="D309">
        <v>1</v>
      </c>
      <c r="E309" s="1">
        <f t="shared" si="32"/>
        <v>1.0311111111111111</v>
      </c>
      <c r="F309">
        <v>1</v>
      </c>
      <c r="G309">
        <f>1</f>
        <v>1</v>
      </c>
      <c r="H309" s="1">
        <f t="shared" si="33"/>
        <v>10.585683232748449</v>
      </c>
      <c r="I309" s="1">
        <f t="shared" si="34"/>
        <v>0</v>
      </c>
      <c r="J309" s="1">
        <f t="shared" si="35"/>
        <v>0</v>
      </c>
      <c r="K309" s="1">
        <f t="shared" si="36"/>
        <v>10.585683232748449</v>
      </c>
      <c r="L309" s="1">
        <f t="shared" si="37"/>
        <v>6478039.7318185633</v>
      </c>
      <c r="M309" s="1">
        <f t="shared" si="38"/>
        <v>-6679578.7456973642</v>
      </c>
    </row>
    <row r="310" spans="1:13" x14ac:dyDescent="0.25">
      <c r="A310">
        <f t="shared" si="39"/>
        <v>270</v>
      </c>
      <c r="B310" s="1">
        <f>A310/6</f>
        <v>45</v>
      </c>
      <c r="C310">
        <v>0.9</v>
      </c>
      <c r="D310">
        <v>1</v>
      </c>
      <c r="E310" s="1">
        <f t="shared" si="32"/>
        <v>1.0311111111111111</v>
      </c>
      <c r="F310">
        <v>1</v>
      </c>
      <c r="G310">
        <f>1</f>
        <v>1</v>
      </c>
      <c r="H310" s="1">
        <f t="shared" si="33"/>
        <v>10.585683232748449</v>
      </c>
      <c r="I310" s="1">
        <f t="shared" si="34"/>
        <v>0</v>
      </c>
      <c r="J310" s="1">
        <f t="shared" si="35"/>
        <v>0</v>
      </c>
      <c r="K310" s="1">
        <f t="shared" si="36"/>
        <v>10.585683232748449</v>
      </c>
      <c r="L310" s="1">
        <f t="shared" si="37"/>
        <v>5938203.0875003496</v>
      </c>
      <c r="M310" s="1">
        <f t="shared" si="38"/>
        <v>-6122947.1835559169</v>
      </c>
    </row>
    <row r="311" spans="1:13" x14ac:dyDescent="0.25">
      <c r="A311">
        <f t="shared" si="39"/>
        <v>270</v>
      </c>
      <c r="B311" s="1">
        <f>A311/6.5</f>
        <v>41.53846153846154</v>
      </c>
      <c r="C311">
        <v>0.9</v>
      </c>
      <c r="D311">
        <v>1</v>
      </c>
      <c r="E311" s="1">
        <f t="shared" si="32"/>
        <v>1.0311111111111111</v>
      </c>
      <c r="F311">
        <v>1</v>
      </c>
      <c r="G311">
        <f>1</f>
        <v>1</v>
      </c>
      <c r="H311" s="1">
        <f t="shared" si="33"/>
        <v>10.585683232748449</v>
      </c>
      <c r="I311" s="1">
        <f t="shared" si="34"/>
        <v>0</v>
      </c>
      <c r="J311" s="1">
        <f t="shared" si="35"/>
        <v>0</v>
      </c>
      <c r="K311" s="1">
        <f t="shared" si="36"/>
        <v>10.585683232748449</v>
      </c>
      <c r="L311" s="1">
        <f t="shared" si="37"/>
        <v>5481418.2346157078</v>
      </c>
      <c r="M311" s="1">
        <f t="shared" si="38"/>
        <v>-5651951.2463593073</v>
      </c>
    </row>
    <row r="312" spans="1:13" x14ac:dyDescent="0.25">
      <c r="A312">
        <f t="shared" si="39"/>
        <v>270</v>
      </c>
      <c r="B312" s="1">
        <f>A312/7</f>
        <v>38.571428571428569</v>
      </c>
      <c r="C312">
        <v>0.9</v>
      </c>
      <c r="D312">
        <v>1</v>
      </c>
      <c r="E312" s="1">
        <f t="shared" si="32"/>
        <v>1.0311111111111111</v>
      </c>
      <c r="F312">
        <v>1</v>
      </c>
      <c r="G312">
        <f>1</f>
        <v>1</v>
      </c>
      <c r="H312" s="1">
        <f t="shared" si="33"/>
        <v>10.585683232748449</v>
      </c>
      <c r="I312" s="1">
        <f t="shared" si="34"/>
        <v>0</v>
      </c>
      <c r="J312" s="1">
        <f t="shared" si="35"/>
        <v>0</v>
      </c>
      <c r="K312" s="1">
        <f t="shared" si="36"/>
        <v>10.585683232748449</v>
      </c>
      <c r="L312" s="1">
        <f t="shared" si="37"/>
        <v>5089888.3607145846</v>
      </c>
      <c r="M312" s="1">
        <f t="shared" si="38"/>
        <v>-5248240.4430479286</v>
      </c>
    </row>
    <row r="313" spans="1:13" x14ac:dyDescent="0.25">
      <c r="A313">
        <f t="shared" si="39"/>
        <v>270</v>
      </c>
      <c r="B313" s="1">
        <f>A313/7.5</f>
        <v>36</v>
      </c>
      <c r="C313">
        <v>0.9</v>
      </c>
      <c r="D313">
        <v>1</v>
      </c>
      <c r="E313" s="1">
        <f t="shared" si="32"/>
        <v>1.0311111111111111</v>
      </c>
      <c r="F313">
        <v>1</v>
      </c>
      <c r="G313">
        <f>1</f>
        <v>1</v>
      </c>
      <c r="H313" s="1">
        <f t="shared" si="33"/>
        <v>10.585683232748449</v>
      </c>
      <c r="I313" s="1">
        <f t="shared" si="34"/>
        <v>0</v>
      </c>
      <c r="J313" s="1">
        <f t="shared" si="35"/>
        <v>0</v>
      </c>
      <c r="K313" s="1">
        <f t="shared" si="36"/>
        <v>10.585683232748449</v>
      </c>
      <c r="L313" s="1">
        <f t="shared" si="37"/>
        <v>4750562.4700002791</v>
      </c>
      <c r="M313" s="1">
        <f t="shared" si="38"/>
        <v>-4898357.7468447331</v>
      </c>
    </row>
    <row r="314" spans="1:13" x14ac:dyDescent="0.25">
      <c r="A314">
        <f t="shared" si="39"/>
        <v>285</v>
      </c>
      <c r="B314" s="1">
        <f>A314/5</f>
        <v>57</v>
      </c>
      <c r="C314">
        <v>0.6</v>
      </c>
      <c r="D314">
        <v>1</v>
      </c>
      <c r="E314" s="1">
        <f t="shared" si="32"/>
        <v>1.2566666666666666</v>
      </c>
      <c r="F314">
        <v>1</v>
      </c>
      <c r="G314">
        <f>1</f>
        <v>1</v>
      </c>
      <c r="H314" s="1">
        <f t="shared" si="33"/>
        <v>10.691905249806888</v>
      </c>
      <c r="I314" s="1">
        <f t="shared" si="34"/>
        <v>0</v>
      </c>
      <c r="J314" s="1">
        <f t="shared" si="35"/>
        <v>0</v>
      </c>
      <c r="K314" s="1">
        <f t="shared" si="36"/>
        <v>10.691905249806888</v>
      </c>
      <c r="L314" s="1">
        <f t="shared" si="37"/>
        <v>5643188.1254433375</v>
      </c>
      <c r="M314" s="1">
        <f t="shared" si="38"/>
        <v>-7091606.4109737957</v>
      </c>
    </row>
    <row r="315" spans="1:13" x14ac:dyDescent="0.25">
      <c r="A315">
        <f t="shared" si="39"/>
        <v>285</v>
      </c>
      <c r="B315" s="1">
        <f>A315/5.5</f>
        <v>51.81818181818182</v>
      </c>
      <c r="C315">
        <v>0.6</v>
      </c>
      <c r="D315">
        <v>1</v>
      </c>
      <c r="E315" s="1">
        <f t="shared" si="32"/>
        <v>1.2566666666666666</v>
      </c>
      <c r="F315">
        <v>1</v>
      </c>
      <c r="G315">
        <f>1</f>
        <v>1</v>
      </c>
      <c r="H315" s="1">
        <f t="shared" si="33"/>
        <v>10.691905249806888</v>
      </c>
      <c r="I315" s="1">
        <f t="shared" si="34"/>
        <v>0</v>
      </c>
      <c r="J315" s="1">
        <f t="shared" si="35"/>
        <v>0</v>
      </c>
      <c r="K315" s="1">
        <f t="shared" si="36"/>
        <v>10.691905249806888</v>
      </c>
      <c r="L315" s="1">
        <f t="shared" si="37"/>
        <v>5130171.023130306</v>
      </c>
      <c r="M315" s="1">
        <f t="shared" si="38"/>
        <v>-6446914.9190670867</v>
      </c>
    </row>
    <row r="316" spans="1:13" x14ac:dyDescent="0.25">
      <c r="A316">
        <f t="shared" si="39"/>
        <v>285</v>
      </c>
      <c r="B316" s="1">
        <f>A316/6</f>
        <v>47.5</v>
      </c>
      <c r="C316">
        <v>0.6</v>
      </c>
      <c r="D316">
        <v>1</v>
      </c>
      <c r="E316" s="1">
        <f t="shared" si="32"/>
        <v>1.2566666666666666</v>
      </c>
      <c r="F316">
        <v>1</v>
      </c>
      <c r="G316">
        <f>1</f>
        <v>1</v>
      </c>
      <c r="H316" s="1">
        <f t="shared" si="33"/>
        <v>10.691905249806888</v>
      </c>
      <c r="I316" s="1">
        <f t="shared" si="34"/>
        <v>0</v>
      </c>
      <c r="J316" s="1">
        <f t="shared" si="35"/>
        <v>0</v>
      </c>
      <c r="K316" s="1">
        <f t="shared" si="36"/>
        <v>10.691905249806888</v>
      </c>
      <c r="L316" s="1">
        <f t="shared" si="37"/>
        <v>4702656.7712027812</v>
      </c>
      <c r="M316" s="1">
        <f t="shared" si="38"/>
        <v>-5909672.0091448287</v>
      </c>
    </row>
    <row r="317" spans="1:13" x14ac:dyDescent="0.25">
      <c r="A317">
        <f t="shared" si="39"/>
        <v>285</v>
      </c>
      <c r="B317" s="1">
        <f>A317/6.5</f>
        <v>43.846153846153847</v>
      </c>
      <c r="C317">
        <v>0.6</v>
      </c>
      <c r="D317">
        <v>1</v>
      </c>
      <c r="E317" s="1">
        <f t="shared" si="32"/>
        <v>1.2566666666666666</v>
      </c>
      <c r="F317">
        <v>1</v>
      </c>
      <c r="G317">
        <f>1</f>
        <v>1</v>
      </c>
      <c r="H317" s="1">
        <f t="shared" si="33"/>
        <v>10.691905249806888</v>
      </c>
      <c r="I317" s="1">
        <f t="shared" si="34"/>
        <v>0</v>
      </c>
      <c r="J317" s="1">
        <f t="shared" si="35"/>
        <v>0</v>
      </c>
      <c r="K317" s="1">
        <f t="shared" si="36"/>
        <v>10.691905249806888</v>
      </c>
      <c r="L317" s="1">
        <f t="shared" si="37"/>
        <v>4340913.9426487209</v>
      </c>
      <c r="M317" s="1">
        <f t="shared" si="38"/>
        <v>-5455081.8545952262</v>
      </c>
    </row>
    <row r="318" spans="1:13" x14ac:dyDescent="0.25">
      <c r="A318">
        <f t="shared" si="39"/>
        <v>285</v>
      </c>
      <c r="B318" s="1">
        <f>A318/7</f>
        <v>40.714285714285715</v>
      </c>
      <c r="C318">
        <v>0.6</v>
      </c>
      <c r="D318">
        <v>1</v>
      </c>
      <c r="E318" s="1">
        <f t="shared" si="32"/>
        <v>1.2566666666666666</v>
      </c>
      <c r="F318">
        <v>1</v>
      </c>
      <c r="G318">
        <f>1</f>
        <v>1</v>
      </c>
      <c r="H318" s="1">
        <f t="shared" si="33"/>
        <v>10.691905249806888</v>
      </c>
      <c r="I318" s="1">
        <f t="shared" si="34"/>
        <v>0</v>
      </c>
      <c r="J318" s="1">
        <f t="shared" si="35"/>
        <v>0</v>
      </c>
      <c r="K318" s="1">
        <f t="shared" si="36"/>
        <v>10.691905249806888</v>
      </c>
      <c r="L318" s="1">
        <f t="shared" si="37"/>
        <v>4030848.6610309551</v>
      </c>
      <c r="M318" s="1">
        <f t="shared" si="38"/>
        <v>-5065433.150695567</v>
      </c>
    </row>
    <row r="319" spans="1:13" x14ac:dyDescent="0.25">
      <c r="A319">
        <f t="shared" si="39"/>
        <v>285</v>
      </c>
      <c r="B319" s="1">
        <f>A319/7.5</f>
        <v>38</v>
      </c>
      <c r="C319">
        <v>0.6</v>
      </c>
      <c r="D319">
        <v>1</v>
      </c>
      <c r="E319" s="1">
        <f t="shared" si="32"/>
        <v>1.2566666666666666</v>
      </c>
      <c r="F319">
        <v>1</v>
      </c>
      <c r="G319">
        <f>1</f>
        <v>1</v>
      </c>
      <c r="H319" s="1">
        <f t="shared" si="33"/>
        <v>10.691905249806888</v>
      </c>
      <c r="I319" s="1">
        <f t="shared" si="34"/>
        <v>0</v>
      </c>
      <c r="J319" s="1">
        <f t="shared" si="35"/>
        <v>0</v>
      </c>
      <c r="K319" s="1">
        <f t="shared" si="36"/>
        <v>10.691905249806888</v>
      </c>
      <c r="L319" s="1">
        <f t="shared" si="37"/>
        <v>3762125.416962225</v>
      </c>
      <c r="M319" s="1">
        <f t="shared" si="38"/>
        <v>-4727737.6073158635</v>
      </c>
    </row>
    <row r="320" spans="1:13" x14ac:dyDescent="0.25">
      <c r="A320">
        <f t="shared" si="39"/>
        <v>285</v>
      </c>
      <c r="B320" s="1">
        <f>A320/5</f>
        <v>57</v>
      </c>
      <c r="C320">
        <v>0.7</v>
      </c>
      <c r="D320">
        <v>1</v>
      </c>
      <c r="E320" s="1">
        <f t="shared" si="32"/>
        <v>1.1599999999999999</v>
      </c>
      <c r="F320">
        <v>1</v>
      </c>
      <c r="G320">
        <f>1</f>
        <v>1</v>
      </c>
      <c r="H320" s="1">
        <f t="shared" si="33"/>
        <v>10.691905249806888</v>
      </c>
      <c r="I320" s="1">
        <f t="shared" si="34"/>
        <v>0</v>
      </c>
      <c r="J320" s="1">
        <f t="shared" si="35"/>
        <v>0</v>
      </c>
      <c r="K320" s="1">
        <f t="shared" si="36"/>
        <v>10.691905249806888</v>
      </c>
      <c r="L320" s="1">
        <f t="shared" si="37"/>
        <v>6583719.4796838937</v>
      </c>
      <c r="M320" s="1">
        <f t="shared" si="38"/>
        <v>-7637114.5964333173</v>
      </c>
    </row>
    <row r="321" spans="1:13" x14ac:dyDescent="0.25">
      <c r="A321">
        <f t="shared" si="39"/>
        <v>285</v>
      </c>
      <c r="B321" s="1">
        <f>A321/5.5</f>
        <v>51.81818181818182</v>
      </c>
      <c r="C321">
        <v>0.7</v>
      </c>
      <c r="D321">
        <v>1</v>
      </c>
      <c r="E321" s="1">
        <f t="shared" si="32"/>
        <v>1.1599999999999999</v>
      </c>
      <c r="F321">
        <v>1</v>
      </c>
      <c r="G321">
        <f>1</f>
        <v>1</v>
      </c>
      <c r="H321" s="1">
        <f t="shared" si="33"/>
        <v>10.691905249806888</v>
      </c>
      <c r="I321" s="1">
        <f t="shared" si="34"/>
        <v>0</v>
      </c>
      <c r="J321" s="1">
        <f t="shared" si="35"/>
        <v>0</v>
      </c>
      <c r="K321" s="1">
        <f t="shared" si="36"/>
        <v>10.691905249806888</v>
      </c>
      <c r="L321" s="1">
        <f t="shared" si="37"/>
        <v>5985199.5269853575</v>
      </c>
      <c r="M321" s="1">
        <f t="shared" si="38"/>
        <v>-6942831.4513030164</v>
      </c>
    </row>
    <row r="322" spans="1:13" x14ac:dyDescent="0.25">
      <c r="A322">
        <f t="shared" si="39"/>
        <v>285</v>
      </c>
      <c r="B322" s="1">
        <f>A322/6</f>
        <v>47.5</v>
      </c>
      <c r="C322">
        <v>0.7</v>
      </c>
      <c r="D322">
        <v>1</v>
      </c>
      <c r="E322" s="1">
        <f t="shared" si="32"/>
        <v>1.1599999999999999</v>
      </c>
      <c r="F322">
        <v>1</v>
      </c>
      <c r="G322">
        <f>1</f>
        <v>1</v>
      </c>
      <c r="H322" s="1">
        <f t="shared" si="33"/>
        <v>10.691905249806888</v>
      </c>
      <c r="I322" s="1">
        <f t="shared" si="34"/>
        <v>0</v>
      </c>
      <c r="J322" s="1">
        <f t="shared" si="35"/>
        <v>0</v>
      </c>
      <c r="K322" s="1">
        <f t="shared" si="36"/>
        <v>10.691905249806888</v>
      </c>
      <c r="L322" s="1">
        <f t="shared" si="37"/>
        <v>5486432.8997365776</v>
      </c>
      <c r="M322" s="1">
        <f t="shared" si="38"/>
        <v>-6364262.1636944311</v>
      </c>
    </row>
    <row r="323" spans="1:13" x14ac:dyDescent="0.25">
      <c r="A323">
        <f t="shared" si="39"/>
        <v>285</v>
      </c>
      <c r="B323" s="1">
        <f>A323/6.5</f>
        <v>43.846153846153847</v>
      </c>
      <c r="C323">
        <v>0.7</v>
      </c>
      <c r="D323">
        <v>1</v>
      </c>
      <c r="E323" s="1">
        <f t="shared" ref="E323:E386" si="40">0.58*(C323+0.7)/C323</f>
        <v>1.1599999999999999</v>
      </c>
      <c r="F323">
        <v>1</v>
      </c>
      <c r="G323">
        <f>1</f>
        <v>1</v>
      </c>
      <c r="H323" s="1">
        <f t="shared" ref="H323:H386" si="41">IF(AND(A323&gt;=90,A323&lt;300),10.75-POWER((300-A323)/100,1.5),0)</f>
        <v>10.691905249806888</v>
      </c>
      <c r="I323" s="1">
        <f t="shared" ref="I323:I386" si="42">IF(AND(A323&gt;=300,A323&lt;350),10.75,0)</f>
        <v>0</v>
      </c>
      <c r="J323" s="1">
        <f t="shared" ref="J323:J386" si="43">IF(A323&gt;=350,10.75-POWER((A323-350)/150,1.5),0)</f>
        <v>0</v>
      </c>
      <c r="K323" s="1">
        <f t="shared" ref="K323:K386" si="44">SUM(H323:J323)</f>
        <v>10.691905249806888</v>
      </c>
      <c r="L323" s="1">
        <f t="shared" ref="L323:L386" si="45">0.19*D323*F323*G323*K323*A323*A323*B323*C323</f>
        <v>5064399.5997568406</v>
      </c>
      <c r="M323" s="1">
        <f t="shared" ref="M323:M386" si="46">-0.19*E323*F323*G323*K323*A323*A323*B323*C323</f>
        <v>-5874703.5357179372</v>
      </c>
    </row>
    <row r="324" spans="1:13" x14ac:dyDescent="0.25">
      <c r="A324">
        <f t="shared" si="39"/>
        <v>285</v>
      </c>
      <c r="B324" s="1">
        <f>A324/7</f>
        <v>40.714285714285715</v>
      </c>
      <c r="C324">
        <v>0.7</v>
      </c>
      <c r="D324">
        <v>1</v>
      </c>
      <c r="E324" s="1">
        <f t="shared" si="40"/>
        <v>1.1599999999999999</v>
      </c>
      <c r="F324">
        <v>1</v>
      </c>
      <c r="G324">
        <f>1</f>
        <v>1</v>
      </c>
      <c r="H324" s="1">
        <f t="shared" si="41"/>
        <v>10.691905249806888</v>
      </c>
      <c r="I324" s="1">
        <f t="shared" si="42"/>
        <v>0</v>
      </c>
      <c r="J324" s="1">
        <f t="shared" si="43"/>
        <v>0</v>
      </c>
      <c r="K324" s="1">
        <f t="shared" si="44"/>
        <v>10.691905249806888</v>
      </c>
      <c r="L324" s="1">
        <f t="shared" si="45"/>
        <v>4702656.7712027812</v>
      </c>
      <c r="M324" s="1">
        <f t="shared" si="46"/>
        <v>-5455081.8545952272</v>
      </c>
    </row>
    <row r="325" spans="1:13" x14ac:dyDescent="0.25">
      <c r="A325">
        <f t="shared" si="39"/>
        <v>285</v>
      </c>
      <c r="B325" s="1">
        <f>A325/7.5</f>
        <v>38</v>
      </c>
      <c r="C325">
        <v>0.7</v>
      </c>
      <c r="D325">
        <v>1</v>
      </c>
      <c r="E325" s="1">
        <f t="shared" si="40"/>
        <v>1.1599999999999999</v>
      </c>
      <c r="F325">
        <v>1</v>
      </c>
      <c r="G325">
        <f>1</f>
        <v>1</v>
      </c>
      <c r="H325" s="1">
        <f t="shared" si="41"/>
        <v>10.691905249806888</v>
      </c>
      <c r="I325" s="1">
        <f t="shared" si="42"/>
        <v>0</v>
      </c>
      <c r="J325" s="1">
        <f t="shared" si="43"/>
        <v>0</v>
      </c>
      <c r="K325" s="1">
        <f t="shared" si="44"/>
        <v>10.691905249806888</v>
      </c>
      <c r="L325" s="1">
        <f t="shared" si="45"/>
        <v>4389146.3197892625</v>
      </c>
      <c r="M325" s="1">
        <f t="shared" si="46"/>
        <v>-5091409.7309555449</v>
      </c>
    </row>
    <row r="326" spans="1:13" x14ac:dyDescent="0.25">
      <c r="A326">
        <f t="shared" si="39"/>
        <v>285</v>
      </c>
      <c r="B326" s="1">
        <f>A326/5</f>
        <v>57</v>
      </c>
      <c r="C326">
        <v>0.8</v>
      </c>
      <c r="D326">
        <v>1</v>
      </c>
      <c r="E326" s="1">
        <f t="shared" si="40"/>
        <v>1.0874999999999997</v>
      </c>
      <c r="F326">
        <v>1</v>
      </c>
      <c r="G326">
        <f>1</f>
        <v>1</v>
      </c>
      <c r="H326" s="1">
        <f t="shared" si="41"/>
        <v>10.691905249806888</v>
      </c>
      <c r="I326" s="1">
        <f t="shared" si="42"/>
        <v>0</v>
      </c>
      <c r="J326" s="1">
        <f t="shared" si="43"/>
        <v>0</v>
      </c>
      <c r="K326" s="1">
        <f t="shared" si="44"/>
        <v>10.691905249806888</v>
      </c>
      <c r="L326" s="1">
        <f t="shared" si="45"/>
        <v>7524250.83392445</v>
      </c>
      <c r="M326" s="1">
        <f t="shared" si="46"/>
        <v>-8182622.7818928361</v>
      </c>
    </row>
    <row r="327" spans="1:13" x14ac:dyDescent="0.25">
      <c r="A327">
        <f t="shared" si="39"/>
        <v>285</v>
      </c>
      <c r="B327" s="1">
        <f>A327/5.5</f>
        <v>51.81818181818182</v>
      </c>
      <c r="C327">
        <v>0.8</v>
      </c>
      <c r="D327">
        <v>1</v>
      </c>
      <c r="E327" s="1">
        <f t="shared" si="40"/>
        <v>1.0874999999999997</v>
      </c>
      <c r="F327">
        <v>1</v>
      </c>
      <c r="G327">
        <f>1</f>
        <v>1</v>
      </c>
      <c r="H327" s="1">
        <f t="shared" si="41"/>
        <v>10.691905249806888</v>
      </c>
      <c r="I327" s="1">
        <f t="shared" si="42"/>
        <v>0</v>
      </c>
      <c r="J327" s="1">
        <f t="shared" si="43"/>
        <v>0</v>
      </c>
      <c r="K327" s="1">
        <f t="shared" si="44"/>
        <v>10.691905249806888</v>
      </c>
      <c r="L327" s="1">
        <f t="shared" si="45"/>
        <v>6840228.030840409</v>
      </c>
      <c r="M327" s="1">
        <f t="shared" si="46"/>
        <v>-7438747.9835389424</v>
      </c>
    </row>
    <row r="328" spans="1:13" x14ac:dyDescent="0.25">
      <c r="A328">
        <f t="shared" si="39"/>
        <v>285</v>
      </c>
      <c r="B328" s="1">
        <f>A328/6</f>
        <v>47.5</v>
      </c>
      <c r="C328">
        <v>0.8</v>
      </c>
      <c r="D328">
        <v>1</v>
      </c>
      <c r="E328" s="1">
        <f t="shared" si="40"/>
        <v>1.0874999999999997</v>
      </c>
      <c r="F328">
        <v>1</v>
      </c>
      <c r="G328">
        <f>1</f>
        <v>1</v>
      </c>
      <c r="H328" s="1">
        <f t="shared" si="41"/>
        <v>10.691905249806888</v>
      </c>
      <c r="I328" s="1">
        <f t="shared" si="42"/>
        <v>0</v>
      </c>
      <c r="J328" s="1">
        <f t="shared" si="43"/>
        <v>0</v>
      </c>
      <c r="K328" s="1">
        <f t="shared" si="44"/>
        <v>10.691905249806888</v>
      </c>
      <c r="L328" s="1">
        <f t="shared" si="45"/>
        <v>6270209.028270375</v>
      </c>
      <c r="M328" s="1">
        <f t="shared" si="46"/>
        <v>-6818852.3182440316</v>
      </c>
    </row>
    <row r="329" spans="1:13" x14ac:dyDescent="0.25">
      <c r="A329">
        <f t="shared" si="39"/>
        <v>285</v>
      </c>
      <c r="B329" s="1">
        <f>A329/6.5</f>
        <v>43.846153846153847</v>
      </c>
      <c r="C329">
        <v>0.8</v>
      </c>
      <c r="D329">
        <v>1</v>
      </c>
      <c r="E329" s="1">
        <f t="shared" si="40"/>
        <v>1.0874999999999997</v>
      </c>
      <c r="F329">
        <v>1</v>
      </c>
      <c r="G329">
        <f>1</f>
        <v>1</v>
      </c>
      <c r="H329" s="1">
        <f t="shared" si="41"/>
        <v>10.691905249806888</v>
      </c>
      <c r="I329" s="1">
        <f t="shared" si="42"/>
        <v>0</v>
      </c>
      <c r="J329" s="1">
        <f t="shared" si="43"/>
        <v>0</v>
      </c>
      <c r="K329" s="1">
        <f t="shared" si="44"/>
        <v>10.691905249806888</v>
      </c>
      <c r="L329" s="1">
        <f t="shared" si="45"/>
        <v>5787885.2568649612</v>
      </c>
      <c r="M329" s="1">
        <f t="shared" si="46"/>
        <v>-6294325.2168406434</v>
      </c>
    </row>
    <row r="330" spans="1:13" x14ac:dyDescent="0.25">
      <c r="A330">
        <f t="shared" si="39"/>
        <v>285</v>
      </c>
      <c r="B330" s="1">
        <f>A330/7</f>
        <v>40.714285714285715</v>
      </c>
      <c r="C330">
        <v>0.8</v>
      </c>
      <c r="D330">
        <v>1</v>
      </c>
      <c r="E330" s="1">
        <f t="shared" si="40"/>
        <v>1.0874999999999997</v>
      </c>
      <c r="F330">
        <v>1</v>
      </c>
      <c r="G330">
        <f>1</f>
        <v>1</v>
      </c>
      <c r="H330" s="1">
        <f t="shared" si="41"/>
        <v>10.691905249806888</v>
      </c>
      <c r="I330" s="1">
        <f t="shared" si="42"/>
        <v>0</v>
      </c>
      <c r="J330" s="1">
        <f t="shared" si="43"/>
        <v>0</v>
      </c>
      <c r="K330" s="1">
        <f t="shared" si="44"/>
        <v>10.691905249806888</v>
      </c>
      <c r="L330" s="1">
        <f t="shared" si="45"/>
        <v>5374464.8813746078</v>
      </c>
      <c r="M330" s="1">
        <f t="shared" si="46"/>
        <v>-5844730.5584948845</v>
      </c>
    </row>
    <row r="331" spans="1:13" x14ac:dyDescent="0.25">
      <c r="A331">
        <f t="shared" ref="A331:A394" si="47">A307+15</f>
        <v>285</v>
      </c>
      <c r="B331" s="1">
        <f>A331/7.5</f>
        <v>38</v>
      </c>
      <c r="C331">
        <v>0.8</v>
      </c>
      <c r="D331">
        <v>1</v>
      </c>
      <c r="E331" s="1">
        <f t="shared" si="40"/>
        <v>1.0874999999999997</v>
      </c>
      <c r="F331">
        <v>1</v>
      </c>
      <c r="G331">
        <f>1</f>
        <v>1</v>
      </c>
      <c r="H331" s="1">
        <f t="shared" si="41"/>
        <v>10.691905249806888</v>
      </c>
      <c r="I331" s="1">
        <f t="shared" si="42"/>
        <v>0</v>
      </c>
      <c r="J331" s="1">
        <f t="shared" si="43"/>
        <v>0</v>
      </c>
      <c r="K331" s="1">
        <f t="shared" si="44"/>
        <v>10.691905249806888</v>
      </c>
      <c r="L331" s="1">
        <f t="shared" si="45"/>
        <v>5016167.2226163</v>
      </c>
      <c r="M331" s="1">
        <f t="shared" si="46"/>
        <v>-5455081.8545952253</v>
      </c>
    </row>
    <row r="332" spans="1:13" x14ac:dyDescent="0.25">
      <c r="A332">
        <f t="shared" si="47"/>
        <v>285</v>
      </c>
      <c r="B332" s="1">
        <f>A332/5</f>
        <v>57</v>
      </c>
      <c r="C332">
        <v>0.9</v>
      </c>
      <c r="D332">
        <v>1</v>
      </c>
      <c r="E332" s="1">
        <f t="shared" si="40"/>
        <v>1.0311111111111111</v>
      </c>
      <c r="F332">
        <v>1</v>
      </c>
      <c r="G332">
        <f>1</f>
        <v>1</v>
      </c>
      <c r="H332" s="1">
        <f t="shared" si="41"/>
        <v>10.691905249806888</v>
      </c>
      <c r="I332" s="1">
        <f t="shared" si="42"/>
        <v>0</v>
      </c>
      <c r="J332" s="1">
        <f t="shared" si="43"/>
        <v>0</v>
      </c>
      <c r="K332" s="1">
        <f t="shared" si="44"/>
        <v>10.691905249806888</v>
      </c>
      <c r="L332" s="1">
        <f t="shared" si="45"/>
        <v>8464782.1881650072</v>
      </c>
      <c r="M332" s="1">
        <f t="shared" si="46"/>
        <v>-8728130.9673523623</v>
      </c>
    </row>
    <row r="333" spans="1:13" x14ac:dyDescent="0.25">
      <c r="A333">
        <f t="shared" si="47"/>
        <v>285</v>
      </c>
      <c r="B333" s="1">
        <f>A333/5.5</f>
        <v>51.81818181818182</v>
      </c>
      <c r="C333">
        <v>0.9</v>
      </c>
      <c r="D333">
        <v>1</v>
      </c>
      <c r="E333" s="1">
        <f t="shared" si="40"/>
        <v>1.0311111111111111</v>
      </c>
      <c r="F333">
        <v>1</v>
      </c>
      <c r="G333">
        <f>1</f>
        <v>1</v>
      </c>
      <c r="H333" s="1">
        <f t="shared" si="41"/>
        <v>10.691905249806888</v>
      </c>
      <c r="I333" s="1">
        <f t="shared" si="42"/>
        <v>0</v>
      </c>
      <c r="J333" s="1">
        <f t="shared" si="43"/>
        <v>0</v>
      </c>
      <c r="K333" s="1">
        <f t="shared" si="44"/>
        <v>10.691905249806888</v>
      </c>
      <c r="L333" s="1">
        <f t="shared" si="45"/>
        <v>7695256.5346954605</v>
      </c>
      <c r="M333" s="1">
        <f t="shared" si="46"/>
        <v>-7934664.5157748749</v>
      </c>
    </row>
    <row r="334" spans="1:13" x14ac:dyDescent="0.25">
      <c r="A334">
        <f t="shared" si="47"/>
        <v>285</v>
      </c>
      <c r="B334" s="1">
        <f>A334/6</f>
        <v>47.5</v>
      </c>
      <c r="C334">
        <v>0.9</v>
      </c>
      <c r="D334">
        <v>1</v>
      </c>
      <c r="E334" s="1">
        <f t="shared" si="40"/>
        <v>1.0311111111111111</v>
      </c>
      <c r="F334">
        <v>1</v>
      </c>
      <c r="G334">
        <f>1</f>
        <v>1</v>
      </c>
      <c r="H334" s="1">
        <f t="shared" si="41"/>
        <v>10.691905249806888</v>
      </c>
      <c r="I334" s="1">
        <f t="shared" si="42"/>
        <v>0</v>
      </c>
      <c r="J334" s="1">
        <f t="shared" si="43"/>
        <v>0</v>
      </c>
      <c r="K334" s="1">
        <f t="shared" si="44"/>
        <v>10.691905249806888</v>
      </c>
      <c r="L334" s="1">
        <f t="shared" si="45"/>
        <v>7053985.1568041723</v>
      </c>
      <c r="M334" s="1">
        <f t="shared" si="46"/>
        <v>-7273442.472793635</v>
      </c>
    </row>
    <row r="335" spans="1:13" x14ac:dyDescent="0.25">
      <c r="A335">
        <f t="shared" si="47"/>
        <v>285</v>
      </c>
      <c r="B335" s="1">
        <f>A335/6.5</f>
        <v>43.846153846153847</v>
      </c>
      <c r="C335">
        <v>0.9</v>
      </c>
      <c r="D335">
        <v>1</v>
      </c>
      <c r="E335" s="1">
        <f t="shared" si="40"/>
        <v>1.0311111111111111</v>
      </c>
      <c r="F335">
        <v>1</v>
      </c>
      <c r="G335">
        <f>1</f>
        <v>1</v>
      </c>
      <c r="H335" s="1">
        <f t="shared" si="41"/>
        <v>10.691905249806888</v>
      </c>
      <c r="I335" s="1">
        <f t="shared" si="42"/>
        <v>0</v>
      </c>
      <c r="J335" s="1">
        <f t="shared" si="43"/>
        <v>0</v>
      </c>
      <c r="K335" s="1">
        <f t="shared" si="44"/>
        <v>10.691905249806888</v>
      </c>
      <c r="L335" s="1">
        <f t="shared" si="45"/>
        <v>6511370.9139730819</v>
      </c>
      <c r="M335" s="1">
        <f t="shared" si="46"/>
        <v>-6713946.8979633553</v>
      </c>
    </row>
    <row r="336" spans="1:13" x14ac:dyDescent="0.25">
      <c r="A336">
        <f t="shared" si="47"/>
        <v>285</v>
      </c>
      <c r="B336" s="1">
        <f>A336/7</f>
        <v>40.714285714285715</v>
      </c>
      <c r="C336">
        <v>0.9</v>
      </c>
      <c r="D336">
        <v>1</v>
      </c>
      <c r="E336" s="1">
        <f t="shared" si="40"/>
        <v>1.0311111111111111</v>
      </c>
      <c r="F336">
        <v>1</v>
      </c>
      <c r="G336">
        <f>1</f>
        <v>1</v>
      </c>
      <c r="H336" s="1">
        <f t="shared" si="41"/>
        <v>10.691905249806888</v>
      </c>
      <c r="I336" s="1">
        <f t="shared" si="42"/>
        <v>0</v>
      </c>
      <c r="J336" s="1">
        <f t="shared" si="43"/>
        <v>0</v>
      </c>
      <c r="K336" s="1">
        <f t="shared" si="44"/>
        <v>10.691905249806888</v>
      </c>
      <c r="L336" s="1">
        <f t="shared" si="45"/>
        <v>6046272.9915464334</v>
      </c>
      <c r="M336" s="1">
        <f t="shared" si="46"/>
        <v>-6234379.2623945447</v>
      </c>
    </row>
    <row r="337" spans="1:13" x14ac:dyDescent="0.25">
      <c r="A337">
        <f t="shared" si="47"/>
        <v>285</v>
      </c>
      <c r="B337" s="1">
        <f>A337/7.5</f>
        <v>38</v>
      </c>
      <c r="C337">
        <v>0.9</v>
      </c>
      <c r="D337">
        <v>1</v>
      </c>
      <c r="E337" s="1">
        <f t="shared" si="40"/>
        <v>1.0311111111111111</v>
      </c>
      <c r="F337">
        <v>1</v>
      </c>
      <c r="G337">
        <f>1</f>
        <v>1</v>
      </c>
      <c r="H337" s="1">
        <f t="shared" si="41"/>
        <v>10.691905249806888</v>
      </c>
      <c r="I337" s="1">
        <f t="shared" si="42"/>
        <v>0</v>
      </c>
      <c r="J337" s="1">
        <f t="shared" si="43"/>
        <v>0</v>
      </c>
      <c r="K337" s="1">
        <f t="shared" si="44"/>
        <v>10.691905249806888</v>
      </c>
      <c r="L337" s="1">
        <f t="shared" si="45"/>
        <v>5643188.1254433375</v>
      </c>
      <c r="M337" s="1">
        <f t="shared" si="46"/>
        <v>-5818753.9782349085</v>
      </c>
    </row>
    <row r="338" spans="1:13" x14ac:dyDescent="0.25">
      <c r="A338">
        <f t="shared" si="47"/>
        <v>300</v>
      </c>
      <c r="B338" s="1">
        <f>A338/5</f>
        <v>60</v>
      </c>
      <c r="C338">
        <v>0.6</v>
      </c>
      <c r="D338">
        <v>1</v>
      </c>
      <c r="E338" s="1">
        <f t="shared" si="40"/>
        <v>1.2566666666666666</v>
      </c>
      <c r="F338">
        <v>1</v>
      </c>
      <c r="G338">
        <f>1</f>
        <v>1</v>
      </c>
      <c r="H338" s="1">
        <f t="shared" si="41"/>
        <v>0</v>
      </c>
      <c r="I338" s="1">
        <f t="shared" si="42"/>
        <v>10.75</v>
      </c>
      <c r="J338" s="1">
        <f t="shared" si="43"/>
        <v>0</v>
      </c>
      <c r="K338" s="1">
        <f t="shared" si="44"/>
        <v>10.75</v>
      </c>
      <c r="L338" s="1">
        <f t="shared" si="45"/>
        <v>6617700</v>
      </c>
      <c r="M338" s="1">
        <f t="shared" si="46"/>
        <v>-8316243</v>
      </c>
    </row>
    <row r="339" spans="1:13" x14ac:dyDescent="0.25">
      <c r="A339">
        <f t="shared" si="47"/>
        <v>300</v>
      </c>
      <c r="B339" s="1">
        <f>A339/5.5</f>
        <v>54.545454545454547</v>
      </c>
      <c r="C339">
        <v>0.6</v>
      </c>
      <c r="D339">
        <v>1</v>
      </c>
      <c r="E339" s="1">
        <f t="shared" si="40"/>
        <v>1.2566666666666666</v>
      </c>
      <c r="F339">
        <v>1</v>
      </c>
      <c r="G339">
        <f>1</f>
        <v>1</v>
      </c>
      <c r="H339" s="1">
        <f t="shared" si="41"/>
        <v>0</v>
      </c>
      <c r="I339" s="1">
        <f t="shared" si="42"/>
        <v>10.75</v>
      </c>
      <c r="J339" s="1">
        <f t="shared" si="43"/>
        <v>0</v>
      </c>
      <c r="K339" s="1">
        <f t="shared" si="44"/>
        <v>10.75</v>
      </c>
      <c r="L339" s="1">
        <f t="shared" si="45"/>
        <v>6016090.9090909092</v>
      </c>
      <c r="M339" s="1">
        <f t="shared" si="46"/>
        <v>-7560220.9090909082</v>
      </c>
    </row>
    <row r="340" spans="1:13" x14ac:dyDescent="0.25">
      <c r="A340">
        <f t="shared" si="47"/>
        <v>300</v>
      </c>
      <c r="B340" s="1">
        <f>A340/6</f>
        <v>50</v>
      </c>
      <c r="C340">
        <v>0.6</v>
      </c>
      <c r="D340">
        <v>1</v>
      </c>
      <c r="E340" s="1">
        <f t="shared" si="40"/>
        <v>1.2566666666666666</v>
      </c>
      <c r="F340">
        <v>1</v>
      </c>
      <c r="G340">
        <f>1</f>
        <v>1</v>
      </c>
      <c r="H340" s="1">
        <f t="shared" si="41"/>
        <v>0</v>
      </c>
      <c r="I340" s="1">
        <f t="shared" si="42"/>
        <v>10.75</v>
      </c>
      <c r="J340" s="1">
        <f t="shared" si="43"/>
        <v>0</v>
      </c>
      <c r="K340" s="1">
        <f t="shared" si="44"/>
        <v>10.75</v>
      </c>
      <c r="L340" s="1">
        <f t="shared" si="45"/>
        <v>5514750</v>
      </c>
      <c r="M340" s="1">
        <f t="shared" si="46"/>
        <v>-6930202.5</v>
      </c>
    </row>
    <row r="341" spans="1:13" x14ac:dyDescent="0.25">
      <c r="A341">
        <f t="shared" si="47"/>
        <v>300</v>
      </c>
      <c r="B341" s="1">
        <f>A341/6.5</f>
        <v>46.153846153846153</v>
      </c>
      <c r="C341">
        <v>0.6</v>
      </c>
      <c r="D341">
        <v>1</v>
      </c>
      <c r="E341" s="1">
        <f t="shared" si="40"/>
        <v>1.2566666666666666</v>
      </c>
      <c r="F341">
        <v>1</v>
      </c>
      <c r="G341">
        <f>1</f>
        <v>1</v>
      </c>
      <c r="H341" s="1">
        <f t="shared" si="41"/>
        <v>0</v>
      </c>
      <c r="I341" s="1">
        <f t="shared" si="42"/>
        <v>10.75</v>
      </c>
      <c r="J341" s="1">
        <f t="shared" si="43"/>
        <v>0</v>
      </c>
      <c r="K341" s="1">
        <f t="shared" si="44"/>
        <v>10.75</v>
      </c>
      <c r="L341" s="1">
        <f t="shared" si="45"/>
        <v>5090538.461538462</v>
      </c>
      <c r="M341" s="1">
        <f t="shared" si="46"/>
        <v>-6397110</v>
      </c>
    </row>
    <row r="342" spans="1:13" x14ac:dyDescent="0.25">
      <c r="A342">
        <f t="shared" si="47"/>
        <v>300</v>
      </c>
      <c r="B342" s="1">
        <f>A342/7</f>
        <v>42.857142857142854</v>
      </c>
      <c r="C342">
        <v>0.6</v>
      </c>
      <c r="D342">
        <v>1</v>
      </c>
      <c r="E342" s="1">
        <f t="shared" si="40"/>
        <v>1.2566666666666666</v>
      </c>
      <c r="F342">
        <v>1</v>
      </c>
      <c r="G342">
        <f>1</f>
        <v>1</v>
      </c>
      <c r="H342" s="1">
        <f t="shared" si="41"/>
        <v>0</v>
      </c>
      <c r="I342" s="1">
        <f t="shared" si="42"/>
        <v>10.75</v>
      </c>
      <c r="J342" s="1">
        <f t="shared" si="43"/>
        <v>0</v>
      </c>
      <c r="K342" s="1">
        <f t="shared" si="44"/>
        <v>10.75</v>
      </c>
      <c r="L342" s="1">
        <f t="shared" si="45"/>
        <v>4726928.5714285709</v>
      </c>
      <c r="M342" s="1">
        <f t="shared" si="46"/>
        <v>-5940173.5714285709</v>
      </c>
    </row>
    <row r="343" spans="1:13" x14ac:dyDescent="0.25">
      <c r="A343">
        <f t="shared" si="47"/>
        <v>300</v>
      </c>
      <c r="B343" s="1">
        <f>A343/7.5</f>
        <v>40</v>
      </c>
      <c r="C343">
        <v>0.6</v>
      </c>
      <c r="D343">
        <v>1</v>
      </c>
      <c r="E343" s="1">
        <f t="shared" si="40"/>
        <v>1.2566666666666666</v>
      </c>
      <c r="F343">
        <v>1</v>
      </c>
      <c r="G343">
        <f>1</f>
        <v>1</v>
      </c>
      <c r="H343" s="1">
        <f t="shared" si="41"/>
        <v>0</v>
      </c>
      <c r="I343" s="1">
        <f t="shared" si="42"/>
        <v>10.75</v>
      </c>
      <c r="J343" s="1">
        <f t="shared" si="43"/>
        <v>0</v>
      </c>
      <c r="K343" s="1">
        <f t="shared" si="44"/>
        <v>10.75</v>
      </c>
      <c r="L343" s="1">
        <f t="shared" si="45"/>
        <v>4411800</v>
      </c>
      <c r="M343" s="1">
        <f t="shared" si="46"/>
        <v>-5544162</v>
      </c>
    </row>
    <row r="344" spans="1:13" x14ac:dyDescent="0.25">
      <c r="A344">
        <f t="shared" si="47"/>
        <v>300</v>
      </c>
      <c r="B344" s="1">
        <f>A344/5</f>
        <v>60</v>
      </c>
      <c r="C344">
        <v>0.7</v>
      </c>
      <c r="D344">
        <v>1</v>
      </c>
      <c r="E344" s="1">
        <f t="shared" si="40"/>
        <v>1.1599999999999999</v>
      </c>
      <c r="F344">
        <v>1</v>
      </c>
      <c r="G344">
        <f>1</f>
        <v>1</v>
      </c>
      <c r="H344" s="1">
        <f t="shared" si="41"/>
        <v>0</v>
      </c>
      <c r="I344" s="1">
        <f t="shared" si="42"/>
        <v>10.75</v>
      </c>
      <c r="J344" s="1">
        <f t="shared" si="43"/>
        <v>0</v>
      </c>
      <c r="K344" s="1">
        <f t="shared" si="44"/>
        <v>10.75</v>
      </c>
      <c r="L344" s="1">
        <f t="shared" si="45"/>
        <v>7720649.9999999991</v>
      </c>
      <c r="M344" s="1">
        <f t="shared" si="46"/>
        <v>-8955954</v>
      </c>
    </row>
    <row r="345" spans="1:13" x14ac:dyDescent="0.25">
      <c r="A345">
        <f t="shared" si="47"/>
        <v>300</v>
      </c>
      <c r="B345" s="1">
        <f>A345/5.5</f>
        <v>54.545454545454547</v>
      </c>
      <c r="C345">
        <v>0.7</v>
      </c>
      <c r="D345">
        <v>1</v>
      </c>
      <c r="E345" s="1">
        <f t="shared" si="40"/>
        <v>1.1599999999999999</v>
      </c>
      <c r="F345">
        <v>1</v>
      </c>
      <c r="G345">
        <f>1</f>
        <v>1</v>
      </c>
      <c r="H345" s="1">
        <f t="shared" si="41"/>
        <v>0</v>
      </c>
      <c r="I345" s="1">
        <f t="shared" si="42"/>
        <v>10.75</v>
      </c>
      <c r="J345" s="1">
        <f t="shared" si="43"/>
        <v>0</v>
      </c>
      <c r="K345" s="1">
        <f t="shared" si="44"/>
        <v>10.75</v>
      </c>
      <c r="L345" s="1">
        <f t="shared" si="45"/>
        <v>7018772.7272727266</v>
      </c>
      <c r="M345" s="1">
        <f t="shared" si="46"/>
        <v>-8141776.3636363633</v>
      </c>
    </row>
    <row r="346" spans="1:13" x14ac:dyDescent="0.25">
      <c r="A346">
        <f t="shared" si="47"/>
        <v>300</v>
      </c>
      <c r="B346" s="1">
        <f>A346/6</f>
        <v>50</v>
      </c>
      <c r="C346">
        <v>0.7</v>
      </c>
      <c r="D346">
        <v>1</v>
      </c>
      <c r="E346" s="1">
        <f t="shared" si="40"/>
        <v>1.1599999999999999</v>
      </c>
      <c r="F346">
        <v>1</v>
      </c>
      <c r="G346">
        <f>1</f>
        <v>1</v>
      </c>
      <c r="H346" s="1">
        <f t="shared" si="41"/>
        <v>0</v>
      </c>
      <c r="I346" s="1">
        <f t="shared" si="42"/>
        <v>10.75</v>
      </c>
      <c r="J346" s="1">
        <f t="shared" si="43"/>
        <v>0</v>
      </c>
      <c r="K346" s="1">
        <f t="shared" si="44"/>
        <v>10.75</v>
      </c>
      <c r="L346" s="1">
        <f t="shared" si="45"/>
        <v>6433875</v>
      </c>
      <c r="M346" s="1">
        <f t="shared" si="46"/>
        <v>-7463294.9999999991</v>
      </c>
    </row>
    <row r="347" spans="1:13" x14ac:dyDescent="0.25">
      <c r="A347">
        <f t="shared" si="47"/>
        <v>300</v>
      </c>
      <c r="B347" s="1">
        <f>A347/6.5</f>
        <v>46.153846153846153</v>
      </c>
      <c r="C347">
        <v>0.7</v>
      </c>
      <c r="D347">
        <v>1</v>
      </c>
      <c r="E347" s="1">
        <f t="shared" si="40"/>
        <v>1.1599999999999999</v>
      </c>
      <c r="F347">
        <v>1</v>
      </c>
      <c r="G347">
        <f>1</f>
        <v>1</v>
      </c>
      <c r="H347" s="1">
        <f t="shared" si="41"/>
        <v>0</v>
      </c>
      <c r="I347" s="1">
        <f t="shared" si="42"/>
        <v>10.75</v>
      </c>
      <c r="J347" s="1">
        <f t="shared" si="43"/>
        <v>0</v>
      </c>
      <c r="K347" s="1">
        <f t="shared" si="44"/>
        <v>10.75</v>
      </c>
      <c r="L347" s="1">
        <f t="shared" si="45"/>
        <v>5938961.538461539</v>
      </c>
      <c r="M347" s="1">
        <f t="shared" si="46"/>
        <v>-6889195.384615384</v>
      </c>
    </row>
    <row r="348" spans="1:13" x14ac:dyDescent="0.25">
      <c r="A348">
        <f t="shared" si="47"/>
        <v>300</v>
      </c>
      <c r="B348" s="1">
        <f>A348/7</f>
        <v>42.857142857142854</v>
      </c>
      <c r="C348">
        <v>0.7</v>
      </c>
      <c r="D348">
        <v>1</v>
      </c>
      <c r="E348" s="1">
        <f t="shared" si="40"/>
        <v>1.1599999999999999</v>
      </c>
      <c r="F348">
        <v>1</v>
      </c>
      <c r="G348">
        <f>1</f>
        <v>1</v>
      </c>
      <c r="H348" s="1">
        <f t="shared" si="41"/>
        <v>0</v>
      </c>
      <c r="I348" s="1">
        <f t="shared" si="42"/>
        <v>10.75</v>
      </c>
      <c r="J348" s="1">
        <f t="shared" si="43"/>
        <v>0</v>
      </c>
      <c r="K348" s="1">
        <f t="shared" si="44"/>
        <v>10.75</v>
      </c>
      <c r="L348" s="1">
        <f t="shared" si="45"/>
        <v>5514749.9999999991</v>
      </c>
      <c r="M348" s="1">
        <f t="shared" si="46"/>
        <v>-6397109.9999999991</v>
      </c>
    </row>
    <row r="349" spans="1:13" x14ac:dyDescent="0.25">
      <c r="A349">
        <f t="shared" si="47"/>
        <v>300</v>
      </c>
      <c r="B349" s="1">
        <f>A349/7.5</f>
        <v>40</v>
      </c>
      <c r="C349">
        <v>0.7</v>
      </c>
      <c r="D349">
        <v>1</v>
      </c>
      <c r="E349" s="1">
        <f t="shared" si="40"/>
        <v>1.1599999999999999</v>
      </c>
      <c r="F349">
        <v>1</v>
      </c>
      <c r="G349">
        <f>1</f>
        <v>1</v>
      </c>
      <c r="H349" s="1">
        <f t="shared" si="41"/>
        <v>0</v>
      </c>
      <c r="I349" s="1">
        <f t="shared" si="42"/>
        <v>10.75</v>
      </c>
      <c r="J349" s="1">
        <f t="shared" si="43"/>
        <v>0</v>
      </c>
      <c r="K349" s="1">
        <f t="shared" si="44"/>
        <v>10.75</v>
      </c>
      <c r="L349" s="1">
        <f t="shared" si="45"/>
        <v>5147100</v>
      </c>
      <c r="M349" s="1">
        <f t="shared" si="46"/>
        <v>-5970636</v>
      </c>
    </row>
    <row r="350" spans="1:13" x14ac:dyDescent="0.25">
      <c r="A350">
        <f t="shared" si="47"/>
        <v>300</v>
      </c>
      <c r="B350" s="1">
        <f>A350/5</f>
        <v>60</v>
      </c>
      <c r="C350">
        <v>0.8</v>
      </c>
      <c r="D350">
        <v>1</v>
      </c>
      <c r="E350" s="1">
        <f t="shared" si="40"/>
        <v>1.0874999999999997</v>
      </c>
      <c r="F350">
        <v>1</v>
      </c>
      <c r="G350">
        <f>1</f>
        <v>1</v>
      </c>
      <c r="H350" s="1">
        <f t="shared" si="41"/>
        <v>0</v>
      </c>
      <c r="I350" s="1">
        <f t="shared" si="42"/>
        <v>10.75</v>
      </c>
      <c r="J350" s="1">
        <f t="shared" si="43"/>
        <v>0</v>
      </c>
      <c r="K350" s="1">
        <f t="shared" si="44"/>
        <v>10.75</v>
      </c>
      <c r="L350" s="1">
        <f t="shared" si="45"/>
        <v>8823600</v>
      </c>
      <c r="M350" s="1">
        <f t="shared" si="46"/>
        <v>-9595664.9999999981</v>
      </c>
    </row>
    <row r="351" spans="1:13" x14ac:dyDescent="0.25">
      <c r="A351">
        <f t="shared" si="47"/>
        <v>300</v>
      </c>
      <c r="B351" s="1">
        <f>A351/5.5</f>
        <v>54.545454545454547</v>
      </c>
      <c r="C351">
        <v>0.8</v>
      </c>
      <c r="D351">
        <v>1</v>
      </c>
      <c r="E351" s="1">
        <f t="shared" si="40"/>
        <v>1.0874999999999997</v>
      </c>
      <c r="F351">
        <v>1</v>
      </c>
      <c r="G351">
        <f>1</f>
        <v>1</v>
      </c>
      <c r="H351" s="1">
        <f t="shared" si="41"/>
        <v>0</v>
      </c>
      <c r="I351" s="1">
        <f t="shared" si="42"/>
        <v>10.75</v>
      </c>
      <c r="J351" s="1">
        <f t="shared" si="43"/>
        <v>0</v>
      </c>
      <c r="K351" s="1">
        <f t="shared" si="44"/>
        <v>10.75</v>
      </c>
      <c r="L351" s="1">
        <f t="shared" si="45"/>
        <v>8021454.5454545459</v>
      </c>
      <c r="M351" s="1">
        <f t="shared" si="46"/>
        <v>-8723331.8181818165</v>
      </c>
    </row>
    <row r="352" spans="1:13" x14ac:dyDescent="0.25">
      <c r="A352">
        <f t="shared" si="47"/>
        <v>300</v>
      </c>
      <c r="B352" s="1">
        <f>A352/6</f>
        <v>50</v>
      </c>
      <c r="C352">
        <v>0.8</v>
      </c>
      <c r="D352">
        <v>1</v>
      </c>
      <c r="E352" s="1">
        <f t="shared" si="40"/>
        <v>1.0874999999999997</v>
      </c>
      <c r="F352">
        <v>1</v>
      </c>
      <c r="G352">
        <f>1</f>
        <v>1</v>
      </c>
      <c r="H352" s="1">
        <f t="shared" si="41"/>
        <v>0</v>
      </c>
      <c r="I352" s="1">
        <f t="shared" si="42"/>
        <v>10.75</v>
      </c>
      <c r="J352" s="1">
        <f t="shared" si="43"/>
        <v>0</v>
      </c>
      <c r="K352" s="1">
        <f t="shared" si="44"/>
        <v>10.75</v>
      </c>
      <c r="L352" s="1">
        <f t="shared" si="45"/>
        <v>7353000</v>
      </c>
      <c r="M352" s="1">
        <f t="shared" si="46"/>
        <v>-7996387.4999999972</v>
      </c>
    </row>
    <row r="353" spans="1:13" x14ac:dyDescent="0.25">
      <c r="A353">
        <f t="shared" si="47"/>
        <v>300</v>
      </c>
      <c r="B353" s="1">
        <f>A353/6.5</f>
        <v>46.153846153846153</v>
      </c>
      <c r="C353">
        <v>0.8</v>
      </c>
      <c r="D353">
        <v>1</v>
      </c>
      <c r="E353" s="1">
        <f t="shared" si="40"/>
        <v>1.0874999999999997</v>
      </c>
      <c r="F353">
        <v>1</v>
      </c>
      <c r="G353">
        <f>1</f>
        <v>1</v>
      </c>
      <c r="H353" s="1">
        <f t="shared" si="41"/>
        <v>0</v>
      </c>
      <c r="I353" s="1">
        <f t="shared" si="42"/>
        <v>10.75</v>
      </c>
      <c r="J353" s="1">
        <f t="shared" si="43"/>
        <v>0</v>
      </c>
      <c r="K353" s="1">
        <f t="shared" si="44"/>
        <v>10.75</v>
      </c>
      <c r="L353" s="1">
        <f t="shared" si="45"/>
        <v>6787384.615384616</v>
      </c>
      <c r="M353" s="1">
        <f t="shared" si="46"/>
        <v>-7381280.7692307672</v>
      </c>
    </row>
    <row r="354" spans="1:13" x14ac:dyDescent="0.25">
      <c r="A354">
        <f t="shared" si="47"/>
        <v>300</v>
      </c>
      <c r="B354" s="1">
        <f>A354/7</f>
        <v>42.857142857142854</v>
      </c>
      <c r="C354">
        <v>0.8</v>
      </c>
      <c r="D354">
        <v>1</v>
      </c>
      <c r="E354" s="1">
        <f t="shared" si="40"/>
        <v>1.0874999999999997</v>
      </c>
      <c r="F354">
        <v>1</v>
      </c>
      <c r="G354">
        <f>1</f>
        <v>1</v>
      </c>
      <c r="H354" s="1">
        <f t="shared" si="41"/>
        <v>0</v>
      </c>
      <c r="I354" s="1">
        <f t="shared" si="42"/>
        <v>10.75</v>
      </c>
      <c r="J354" s="1">
        <f t="shared" si="43"/>
        <v>0</v>
      </c>
      <c r="K354" s="1">
        <f t="shared" si="44"/>
        <v>10.75</v>
      </c>
      <c r="L354" s="1">
        <f t="shared" si="45"/>
        <v>6302571.4285714291</v>
      </c>
      <c r="M354" s="1">
        <f t="shared" si="46"/>
        <v>-6854046.4285714254</v>
      </c>
    </row>
    <row r="355" spans="1:13" x14ac:dyDescent="0.25">
      <c r="A355">
        <f t="shared" si="47"/>
        <v>300</v>
      </c>
      <c r="B355" s="1">
        <f>A355/7.5</f>
        <v>40</v>
      </c>
      <c r="C355">
        <v>0.8</v>
      </c>
      <c r="D355">
        <v>1</v>
      </c>
      <c r="E355" s="1">
        <f t="shared" si="40"/>
        <v>1.0874999999999997</v>
      </c>
      <c r="F355">
        <v>1</v>
      </c>
      <c r="G355">
        <f>1</f>
        <v>1</v>
      </c>
      <c r="H355" s="1">
        <f t="shared" si="41"/>
        <v>0</v>
      </c>
      <c r="I355" s="1">
        <f t="shared" si="42"/>
        <v>10.75</v>
      </c>
      <c r="J355" s="1">
        <f t="shared" si="43"/>
        <v>0</v>
      </c>
      <c r="K355" s="1">
        <f t="shared" si="44"/>
        <v>10.75</v>
      </c>
      <c r="L355" s="1">
        <f t="shared" si="45"/>
        <v>5882400</v>
      </c>
      <c r="M355" s="1">
        <f t="shared" si="46"/>
        <v>-6397109.9999999991</v>
      </c>
    </row>
    <row r="356" spans="1:13" x14ac:dyDescent="0.25">
      <c r="A356">
        <f t="shared" si="47"/>
        <v>300</v>
      </c>
      <c r="B356" s="1">
        <f>A356/5</f>
        <v>60</v>
      </c>
      <c r="C356">
        <v>0.9</v>
      </c>
      <c r="D356">
        <v>1</v>
      </c>
      <c r="E356" s="1">
        <f t="shared" si="40"/>
        <v>1.0311111111111111</v>
      </c>
      <c r="F356">
        <v>1</v>
      </c>
      <c r="G356">
        <f>1</f>
        <v>1</v>
      </c>
      <c r="H356" s="1">
        <f t="shared" si="41"/>
        <v>0</v>
      </c>
      <c r="I356" s="1">
        <f t="shared" si="42"/>
        <v>10.75</v>
      </c>
      <c r="J356" s="1">
        <f t="shared" si="43"/>
        <v>0</v>
      </c>
      <c r="K356" s="1">
        <f t="shared" si="44"/>
        <v>10.75</v>
      </c>
      <c r="L356" s="1">
        <f t="shared" si="45"/>
        <v>9926550</v>
      </c>
      <c r="M356" s="1">
        <f t="shared" si="46"/>
        <v>-10235376.000000002</v>
      </c>
    </row>
    <row r="357" spans="1:13" x14ac:dyDescent="0.25">
      <c r="A357">
        <f t="shared" si="47"/>
        <v>300</v>
      </c>
      <c r="B357" s="1">
        <f>A357/5.5</f>
        <v>54.545454545454547</v>
      </c>
      <c r="C357">
        <v>0.9</v>
      </c>
      <c r="D357">
        <v>1</v>
      </c>
      <c r="E357" s="1">
        <f t="shared" si="40"/>
        <v>1.0311111111111111</v>
      </c>
      <c r="F357">
        <v>1</v>
      </c>
      <c r="G357">
        <f>1</f>
        <v>1</v>
      </c>
      <c r="H357" s="1">
        <f t="shared" si="41"/>
        <v>0</v>
      </c>
      <c r="I357" s="1">
        <f t="shared" si="42"/>
        <v>10.75</v>
      </c>
      <c r="J357" s="1">
        <f t="shared" si="43"/>
        <v>0</v>
      </c>
      <c r="K357" s="1">
        <f t="shared" si="44"/>
        <v>10.75</v>
      </c>
      <c r="L357" s="1">
        <f t="shared" si="45"/>
        <v>9024136.3636363633</v>
      </c>
      <c r="M357" s="1">
        <f t="shared" si="46"/>
        <v>-9304887.2727272753</v>
      </c>
    </row>
    <row r="358" spans="1:13" x14ac:dyDescent="0.25">
      <c r="A358">
        <f t="shared" si="47"/>
        <v>300</v>
      </c>
      <c r="B358" s="1">
        <f>A358/6</f>
        <v>50</v>
      </c>
      <c r="C358">
        <v>0.9</v>
      </c>
      <c r="D358">
        <v>1</v>
      </c>
      <c r="E358" s="1">
        <f t="shared" si="40"/>
        <v>1.0311111111111111</v>
      </c>
      <c r="F358">
        <v>1</v>
      </c>
      <c r="G358">
        <f>1</f>
        <v>1</v>
      </c>
      <c r="H358" s="1">
        <f t="shared" si="41"/>
        <v>0</v>
      </c>
      <c r="I358" s="1">
        <f t="shared" si="42"/>
        <v>10.75</v>
      </c>
      <c r="J358" s="1">
        <f t="shared" si="43"/>
        <v>0</v>
      </c>
      <c r="K358" s="1">
        <f t="shared" si="44"/>
        <v>10.75</v>
      </c>
      <c r="L358" s="1">
        <f t="shared" si="45"/>
        <v>8272125</v>
      </c>
      <c r="M358" s="1">
        <f t="shared" si="46"/>
        <v>-8529480.0000000019</v>
      </c>
    </row>
    <row r="359" spans="1:13" x14ac:dyDescent="0.25">
      <c r="A359">
        <f t="shared" si="47"/>
        <v>300</v>
      </c>
      <c r="B359" s="1">
        <f>A359/6.5</f>
        <v>46.153846153846153</v>
      </c>
      <c r="C359">
        <v>0.9</v>
      </c>
      <c r="D359">
        <v>1</v>
      </c>
      <c r="E359" s="1">
        <f t="shared" si="40"/>
        <v>1.0311111111111111</v>
      </c>
      <c r="F359">
        <v>1</v>
      </c>
      <c r="G359">
        <f>1</f>
        <v>1</v>
      </c>
      <c r="H359" s="1">
        <f t="shared" si="41"/>
        <v>0</v>
      </c>
      <c r="I359" s="1">
        <f t="shared" si="42"/>
        <v>10.75</v>
      </c>
      <c r="J359" s="1">
        <f t="shared" si="43"/>
        <v>0</v>
      </c>
      <c r="K359" s="1">
        <f t="shared" si="44"/>
        <v>10.75</v>
      </c>
      <c r="L359" s="1">
        <f t="shared" si="45"/>
        <v>7635807.692307693</v>
      </c>
      <c r="M359" s="1">
        <f t="shared" si="46"/>
        <v>-7873366.1538461549</v>
      </c>
    </row>
    <row r="360" spans="1:13" x14ac:dyDescent="0.25">
      <c r="A360">
        <f t="shared" si="47"/>
        <v>300</v>
      </c>
      <c r="B360" s="1">
        <f>A360/7</f>
        <v>42.857142857142854</v>
      </c>
      <c r="C360">
        <v>0.9</v>
      </c>
      <c r="D360">
        <v>1</v>
      </c>
      <c r="E360" s="1">
        <f t="shared" si="40"/>
        <v>1.0311111111111111</v>
      </c>
      <c r="F360">
        <v>1</v>
      </c>
      <c r="G360">
        <f>1</f>
        <v>1</v>
      </c>
      <c r="H360" s="1">
        <f t="shared" si="41"/>
        <v>0</v>
      </c>
      <c r="I360" s="1">
        <f t="shared" si="42"/>
        <v>10.75</v>
      </c>
      <c r="J360" s="1">
        <f t="shared" si="43"/>
        <v>0</v>
      </c>
      <c r="K360" s="1">
        <f t="shared" si="44"/>
        <v>10.75</v>
      </c>
      <c r="L360" s="1">
        <f t="shared" si="45"/>
        <v>7090392.8571428573</v>
      </c>
      <c r="M360" s="1">
        <f t="shared" si="46"/>
        <v>-7310982.8571428582</v>
      </c>
    </row>
    <row r="361" spans="1:13" x14ac:dyDescent="0.25">
      <c r="A361">
        <f t="shared" si="47"/>
        <v>300</v>
      </c>
      <c r="B361" s="1">
        <f>A361/7.5</f>
        <v>40</v>
      </c>
      <c r="C361">
        <v>0.9</v>
      </c>
      <c r="D361">
        <v>1</v>
      </c>
      <c r="E361" s="1">
        <f t="shared" si="40"/>
        <v>1.0311111111111111</v>
      </c>
      <c r="F361">
        <v>1</v>
      </c>
      <c r="G361">
        <f>1</f>
        <v>1</v>
      </c>
      <c r="H361" s="1">
        <f t="shared" si="41"/>
        <v>0</v>
      </c>
      <c r="I361" s="1">
        <f t="shared" si="42"/>
        <v>10.75</v>
      </c>
      <c r="J361" s="1">
        <f t="shared" si="43"/>
        <v>0</v>
      </c>
      <c r="K361" s="1">
        <f t="shared" si="44"/>
        <v>10.75</v>
      </c>
      <c r="L361" s="1">
        <f t="shared" si="45"/>
        <v>6617700</v>
      </c>
      <c r="M361" s="1">
        <f t="shared" si="46"/>
        <v>-6823584.0000000009</v>
      </c>
    </row>
    <row r="362" spans="1:13" x14ac:dyDescent="0.25">
      <c r="A362">
        <f t="shared" si="47"/>
        <v>315</v>
      </c>
      <c r="B362" s="1">
        <f>A362/5</f>
        <v>63</v>
      </c>
      <c r="C362">
        <v>0.6</v>
      </c>
      <c r="D362">
        <v>1</v>
      </c>
      <c r="E362" s="1">
        <f t="shared" si="40"/>
        <v>1.2566666666666666</v>
      </c>
      <c r="F362">
        <v>1</v>
      </c>
      <c r="G362">
        <f>1</f>
        <v>1</v>
      </c>
      <c r="H362" s="1">
        <f t="shared" si="41"/>
        <v>0</v>
      </c>
      <c r="I362" s="1">
        <f t="shared" si="42"/>
        <v>10.75</v>
      </c>
      <c r="J362" s="1">
        <f t="shared" si="43"/>
        <v>0</v>
      </c>
      <c r="K362" s="1">
        <f t="shared" si="44"/>
        <v>10.75</v>
      </c>
      <c r="L362" s="1">
        <f t="shared" si="45"/>
        <v>7660814.9624999994</v>
      </c>
      <c r="M362" s="1">
        <f t="shared" si="46"/>
        <v>-9627090.802875001</v>
      </c>
    </row>
    <row r="363" spans="1:13" x14ac:dyDescent="0.25">
      <c r="A363">
        <f t="shared" si="47"/>
        <v>315</v>
      </c>
      <c r="B363" s="1">
        <f>A363/5.5</f>
        <v>57.272727272727273</v>
      </c>
      <c r="C363">
        <v>0.6</v>
      </c>
      <c r="D363">
        <v>1</v>
      </c>
      <c r="E363" s="1">
        <f t="shared" si="40"/>
        <v>1.2566666666666666</v>
      </c>
      <c r="F363">
        <v>1</v>
      </c>
      <c r="G363">
        <f>1</f>
        <v>1</v>
      </c>
      <c r="H363" s="1">
        <f t="shared" si="41"/>
        <v>0</v>
      </c>
      <c r="I363" s="1">
        <f t="shared" si="42"/>
        <v>10.75</v>
      </c>
      <c r="J363" s="1">
        <f t="shared" si="43"/>
        <v>0</v>
      </c>
      <c r="K363" s="1">
        <f t="shared" si="44"/>
        <v>10.75</v>
      </c>
      <c r="L363" s="1">
        <f t="shared" si="45"/>
        <v>6964377.2386363642</v>
      </c>
      <c r="M363" s="1">
        <f t="shared" si="46"/>
        <v>-8751900.7298863642</v>
      </c>
    </row>
    <row r="364" spans="1:13" x14ac:dyDescent="0.25">
      <c r="A364">
        <f t="shared" si="47"/>
        <v>315</v>
      </c>
      <c r="B364" s="1">
        <f>A364/6</f>
        <v>52.5</v>
      </c>
      <c r="C364">
        <v>0.6</v>
      </c>
      <c r="D364">
        <v>1</v>
      </c>
      <c r="E364" s="1">
        <f t="shared" si="40"/>
        <v>1.2566666666666666</v>
      </c>
      <c r="F364">
        <v>1</v>
      </c>
      <c r="G364">
        <f>1</f>
        <v>1</v>
      </c>
      <c r="H364" s="1">
        <f t="shared" si="41"/>
        <v>0</v>
      </c>
      <c r="I364" s="1">
        <f t="shared" si="42"/>
        <v>10.75</v>
      </c>
      <c r="J364" s="1">
        <f t="shared" si="43"/>
        <v>0</v>
      </c>
      <c r="K364" s="1">
        <f t="shared" si="44"/>
        <v>10.75</v>
      </c>
      <c r="L364" s="1">
        <f t="shared" si="45"/>
        <v>6384012.46875</v>
      </c>
      <c r="M364" s="1">
        <f t="shared" si="46"/>
        <v>-8022575.6690624999</v>
      </c>
    </row>
    <row r="365" spans="1:13" x14ac:dyDescent="0.25">
      <c r="A365">
        <f t="shared" si="47"/>
        <v>315</v>
      </c>
      <c r="B365" s="1">
        <f>A365/6.5</f>
        <v>48.46153846153846</v>
      </c>
      <c r="C365">
        <v>0.6</v>
      </c>
      <c r="D365">
        <v>1</v>
      </c>
      <c r="E365" s="1">
        <f t="shared" si="40"/>
        <v>1.2566666666666666</v>
      </c>
      <c r="F365">
        <v>1</v>
      </c>
      <c r="G365">
        <f>1</f>
        <v>1</v>
      </c>
      <c r="H365" s="1">
        <f t="shared" si="41"/>
        <v>0</v>
      </c>
      <c r="I365" s="1">
        <f t="shared" si="42"/>
        <v>10.75</v>
      </c>
      <c r="J365" s="1">
        <f t="shared" si="43"/>
        <v>0</v>
      </c>
      <c r="K365" s="1">
        <f t="shared" si="44"/>
        <v>10.75</v>
      </c>
      <c r="L365" s="1">
        <f t="shared" si="45"/>
        <v>5892934.586538461</v>
      </c>
      <c r="M365" s="1">
        <f t="shared" si="46"/>
        <v>-7405454.4637500001</v>
      </c>
    </row>
    <row r="366" spans="1:13" x14ac:dyDescent="0.25">
      <c r="A366">
        <f t="shared" si="47"/>
        <v>315</v>
      </c>
      <c r="B366" s="1">
        <f>A366/7</f>
        <v>45</v>
      </c>
      <c r="C366">
        <v>0.6</v>
      </c>
      <c r="D366">
        <v>1</v>
      </c>
      <c r="E366" s="1">
        <f t="shared" si="40"/>
        <v>1.2566666666666666</v>
      </c>
      <c r="F366">
        <v>1</v>
      </c>
      <c r="G366">
        <f>1</f>
        <v>1</v>
      </c>
      <c r="H366" s="1">
        <f t="shared" si="41"/>
        <v>0</v>
      </c>
      <c r="I366" s="1">
        <f t="shared" si="42"/>
        <v>10.75</v>
      </c>
      <c r="J366" s="1">
        <f t="shared" si="43"/>
        <v>0</v>
      </c>
      <c r="K366" s="1">
        <f t="shared" si="44"/>
        <v>10.75</v>
      </c>
      <c r="L366" s="1">
        <f t="shared" si="45"/>
        <v>5472010.6875</v>
      </c>
      <c r="M366" s="1">
        <f t="shared" si="46"/>
        <v>-6876493.430625</v>
      </c>
    </row>
    <row r="367" spans="1:13" x14ac:dyDescent="0.25">
      <c r="A367">
        <f t="shared" si="47"/>
        <v>315</v>
      </c>
      <c r="B367" s="1">
        <f>A367/7.5</f>
        <v>42</v>
      </c>
      <c r="C367">
        <v>0.6</v>
      </c>
      <c r="D367">
        <v>1</v>
      </c>
      <c r="E367" s="1">
        <f t="shared" si="40"/>
        <v>1.2566666666666666</v>
      </c>
      <c r="F367">
        <v>1</v>
      </c>
      <c r="G367">
        <f>1</f>
        <v>1</v>
      </c>
      <c r="H367" s="1">
        <f t="shared" si="41"/>
        <v>0</v>
      </c>
      <c r="I367" s="1">
        <f t="shared" si="42"/>
        <v>10.75</v>
      </c>
      <c r="J367" s="1">
        <f t="shared" si="43"/>
        <v>0</v>
      </c>
      <c r="K367" s="1">
        <f t="shared" si="44"/>
        <v>10.75</v>
      </c>
      <c r="L367" s="1">
        <f t="shared" si="45"/>
        <v>5107209.9749999996</v>
      </c>
      <c r="M367" s="1">
        <f t="shared" si="46"/>
        <v>-6418060.5352499997</v>
      </c>
    </row>
    <row r="368" spans="1:13" x14ac:dyDescent="0.25">
      <c r="A368">
        <f t="shared" si="47"/>
        <v>315</v>
      </c>
      <c r="B368" s="1">
        <f>A368/5</f>
        <v>63</v>
      </c>
      <c r="C368">
        <v>0.7</v>
      </c>
      <c r="D368">
        <v>1</v>
      </c>
      <c r="E368" s="1">
        <f t="shared" si="40"/>
        <v>1.1599999999999999</v>
      </c>
      <c r="F368">
        <v>1</v>
      </c>
      <c r="G368">
        <f>1</f>
        <v>1</v>
      </c>
      <c r="H368" s="1">
        <f t="shared" si="41"/>
        <v>0</v>
      </c>
      <c r="I368" s="1">
        <f t="shared" si="42"/>
        <v>10.75</v>
      </c>
      <c r="J368" s="1">
        <f t="shared" si="43"/>
        <v>0</v>
      </c>
      <c r="K368" s="1">
        <f t="shared" si="44"/>
        <v>10.75</v>
      </c>
      <c r="L368" s="1">
        <f t="shared" si="45"/>
        <v>8937617.4562499989</v>
      </c>
      <c r="M368" s="1">
        <f t="shared" si="46"/>
        <v>-10367636.249249998</v>
      </c>
    </row>
    <row r="369" spans="1:13" x14ac:dyDescent="0.25">
      <c r="A369">
        <f t="shared" si="47"/>
        <v>315</v>
      </c>
      <c r="B369" s="1">
        <f>A369/5.5</f>
        <v>57.272727272727273</v>
      </c>
      <c r="C369">
        <v>0.7</v>
      </c>
      <c r="D369">
        <v>1</v>
      </c>
      <c r="E369" s="1">
        <f t="shared" si="40"/>
        <v>1.1599999999999999</v>
      </c>
      <c r="F369">
        <v>1</v>
      </c>
      <c r="G369">
        <f>1</f>
        <v>1</v>
      </c>
      <c r="H369" s="1">
        <f t="shared" si="41"/>
        <v>0</v>
      </c>
      <c r="I369" s="1">
        <f t="shared" si="42"/>
        <v>10.75</v>
      </c>
      <c r="J369" s="1">
        <f t="shared" si="43"/>
        <v>0</v>
      </c>
      <c r="K369" s="1">
        <f t="shared" si="44"/>
        <v>10.75</v>
      </c>
      <c r="L369" s="1">
        <f t="shared" si="45"/>
        <v>8125106.7784090908</v>
      </c>
      <c r="M369" s="1">
        <f t="shared" si="46"/>
        <v>-9425123.8629545439</v>
      </c>
    </row>
    <row r="370" spans="1:13" x14ac:dyDescent="0.25">
      <c r="A370">
        <f t="shared" si="47"/>
        <v>315</v>
      </c>
      <c r="B370" s="1">
        <f>A370/6</f>
        <v>52.5</v>
      </c>
      <c r="C370">
        <v>0.7</v>
      </c>
      <c r="D370">
        <v>1</v>
      </c>
      <c r="E370" s="1">
        <f t="shared" si="40"/>
        <v>1.1599999999999999</v>
      </c>
      <c r="F370">
        <v>1</v>
      </c>
      <c r="G370">
        <f>1</f>
        <v>1</v>
      </c>
      <c r="H370" s="1">
        <f t="shared" si="41"/>
        <v>0</v>
      </c>
      <c r="I370" s="1">
        <f t="shared" si="42"/>
        <v>10.75</v>
      </c>
      <c r="J370" s="1">
        <f t="shared" si="43"/>
        <v>0</v>
      </c>
      <c r="K370" s="1">
        <f t="shared" si="44"/>
        <v>10.75</v>
      </c>
      <c r="L370" s="1">
        <f t="shared" si="45"/>
        <v>7448014.5468749991</v>
      </c>
      <c r="M370" s="1">
        <f t="shared" si="46"/>
        <v>-8639696.8743749987</v>
      </c>
    </row>
    <row r="371" spans="1:13" x14ac:dyDescent="0.25">
      <c r="A371">
        <f t="shared" si="47"/>
        <v>315</v>
      </c>
      <c r="B371" s="1">
        <f>A371/6.5</f>
        <v>48.46153846153846</v>
      </c>
      <c r="C371">
        <v>0.7</v>
      </c>
      <c r="D371">
        <v>1</v>
      </c>
      <c r="E371" s="1">
        <f t="shared" si="40"/>
        <v>1.1599999999999999</v>
      </c>
      <c r="F371">
        <v>1</v>
      </c>
      <c r="G371">
        <f>1</f>
        <v>1</v>
      </c>
      <c r="H371" s="1">
        <f t="shared" si="41"/>
        <v>0</v>
      </c>
      <c r="I371" s="1">
        <f t="shared" si="42"/>
        <v>10.75</v>
      </c>
      <c r="J371" s="1">
        <f t="shared" si="43"/>
        <v>0</v>
      </c>
      <c r="K371" s="1">
        <f t="shared" si="44"/>
        <v>10.75</v>
      </c>
      <c r="L371" s="1">
        <f t="shared" si="45"/>
        <v>6875090.3509615371</v>
      </c>
      <c r="M371" s="1">
        <f t="shared" si="46"/>
        <v>-7975104.8071153834</v>
      </c>
    </row>
    <row r="372" spans="1:13" x14ac:dyDescent="0.25">
      <c r="A372">
        <f t="shared" si="47"/>
        <v>315</v>
      </c>
      <c r="B372" s="1">
        <f>A372/7</f>
        <v>45</v>
      </c>
      <c r="C372">
        <v>0.7</v>
      </c>
      <c r="D372">
        <v>1</v>
      </c>
      <c r="E372" s="1">
        <f t="shared" si="40"/>
        <v>1.1599999999999999</v>
      </c>
      <c r="F372">
        <v>1</v>
      </c>
      <c r="G372">
        <f>1</f>
        <v>1</v>
      </c>
      <c r="H372" s="1">
        <f t="shared" si="41"/>
        <v>0</v>
      </c>
      <c r="I372" s="1">
        <f t="shared" si="42"/>
        <v>10.75</v>
      </c>
      <c r="J372" s="1">
        <f t="shared" si="43"/>
        <v>0</v>
      </c>
      <c r="K372" s="1">
        <f t="shared" si="44"/>
        <v>10.75</v>
      </c>
      <c r="L372" s="1">
        <f t="shared" si="45"/>
        <v>6384012.46875</v>
      </c>
      <c r="M372" s="1">
        <f t="shared" si="46"/>
        <v>-7405454.4637499992</v>
      </c>
    </row>
    <row r="373" spans="1:13" x14ac:dyDescent="0.25">
      <c r="A373">
        <f t="shared" si="47"/>
        <v>315</v>
      </c>
      <c r="B373" s="1">
        <f>A373/7.5</f>
        <v>42</v>
      </c>
      <c r="C373">
        <v>0.7</v>
      </c>
      <c r="D373">
        <v>1</v>
      </c>
      <c r="E373" s="1">
        <f t="shared" si="40"/>
        <v>1.1599999999999999</v>
      </c>
      <c r="F373">
        <v>1</v>
      </c>
      <c r="G373">
        <f>1</f>
        <v>1</v>
      </c>
      <c r="H373" s="1">
        <f t="shared" si="41"/>
        <v>0</v>
      </c>
      <c r="I373" s="1">
        <f t="shared" si="42"/>
        <v>10.75</v>
      </c>
      <c r="J373" s="1">
        <f t="shared" si="43"/>
        <v>0</v>
      </c>
      <c r="K373" s="1">
        <f t="shared" si="44"/>
        <v>10.75</v>
      </c>
      <c r="L373" s="1">
        <f t="shared" si="45"/>
        <v>5958411.6374999993</v>
      </c>
      <c r="M373" s="1">
        <f t="shared" si="46"/>
        <v>-6911757.4994999999</v>
      </c>
    </row>
    <row r="374" spans="1:13" x14ac:dyDescent="0.25">
      <c r="A374">
        <f t="shared" si="47"/>
        <v>315</v>
      </c>
      <c r="B374" s="1">
        <f>A374/5</f>
        <v>63</v>
      </c>
      <c r="C374">
        <v>0.8</v>
      </c>
      <c r="D374">
        <v>1</v>
      </c>
      <c r="E374" s="1">
        <f t="shared" si="40"/>
        <v>1.0874999999999997</v>
      </c>
      <c r="F374">
        <v>1</v>
      </c>
      <c r="G374">
        <f>1</f>
        <v>1</v>
      </c>
      <c r="H374" s="1">
        <f t="shared" si="41"/>
        <v>0</v>
      </c>
      <c r="I374" s="1">
        <f t="shared" si="42"/>
        <v>10.75</v>
      </c>
      <c r="J374" s="1">
        <f t="shared" si="43"/>
        <v>0</v>
      </c>
      <c r="K374" s="1">
        <f t="shared" si="44"/>
        <v>10.75</v>
      </c>
      <c r="L374" s="1">
        <f t="shared" si="45"/>
        <v>10214419.950000001</v>
      </c>
      <c r="M374" s="1">
        <f t="shared" si="46"/>
        <v>-11108181.695625</v>
      </c>
    </row>
    <row r="375" spans="1:13" x14ac:dyDescent="0.25">
      <c r="A375">
        <f t="shared" si="47"/>
        <v>315</v>
      </c>
      <c r="B375" s="1">
        <f>A375/5.5</f>
        <v>57.272727272727273</v>
      </c>
      <c r="C375">
        <v>0.8</v>
      </c>
      <c r="D375">
        <v>1</v>
      </c>
      <c r="E375" s="1">
        <f t="shared" si="40"/>
        <v>1.0874999999999997</v>
      </c>
      <c r="F375">
        <v>1</v>
      </c>
      <c r="G375">
        <f>1</f>
        <v>1</v>
      </c>
      <c r="H375" s="1">
        <f t="shared" si="41"/>
        <v>0</v>
      </c>
      <c r="I375" s="1">
        <f t="shared" si="42"/>
        <v>10.75</v>
      </c>
      <c r="J375" s="1">
        <f t="shared" si="43"/>
        <v>0</v>
      </c>
      <c r="K375" s="1">
        <f t="shared" si="44"/>
        <v>10.75</v>
      </c>
      <c r="L375" s="1">
        <f t="shared" si="45"/>
        <v>9285836.3181818184</v>
      </c>
      <c r="M375" s="1">
        <f t="shared" si="46"/>
        <v>-10098346.996022725</v>
      </c>
    </row>
    <row r="376" spans="1:13" x14ac:dyDescent="0.25">
      <c r="A376">
        <f t="shared" si="47"/>
        <v>315</v>
      </c>
      <c r="B376" s="1">
        <f>A376/6</f>
        <v>52.5</v>
      </c>
      <c r="C376">
        <v>0.8</v>
      </c>
      <c r="D376">
        <v>1</v>
      </c>
      <c r="E376" s="1">
        <f t="shared" si="40"/>
        <v>1.0874999999999997</v>
      </c>
      <c r="F376">
        <v>1</v>
      </c>
      <c r="G376">
        <f>1</f>
        <v>1</v>
      </c>
      <c r="H376" s="1">
        <f t="shared" si="41"/>
        <v>0</v>
      </c>
      <c r="I376" s="1">
        <f t="shared" si="42"/>
        <v>10.75</v>
      </c>
      <c r="J376" s="1">
        <f t="shared" si="43"/>
        <v>0</v>
      </c>
      <c r="K376" s="1">
        <f t="shared" si="44"/>
        <v>10.75</v>
      </c>
      <c r="L376" s="1">
        <f t="shared" si="45"/>
        <v>8512016.625</v>
      </c>
      <c r="M376" s="1">
        <f t="shared" si="46"/>
        <v>-9256818.0796874985</v>
      </c>
    </row>
    <row r="377" spans="1:13" x14ac:dyDescent="0.25">
      <c r="A377">
        <f t="shared" si="47"/>
        <v>315</v>
      </c>
      <c r="B377" s="1">
        <f>A377/6.5</f>
        <v>48.46153846153846</v>
      </c>
      <c r="C377">
        <v>0.8</v>
      </c>
      <c r="D377">
        <v>1</v>
      </c>
      <c r="E377" s="1">
        <f t="shared" si="40"/>
        <v>1.0874999999999997</v>
      </c>
      <c r="F377">
        <v>1</v>
      </c>
      <c r="G377">
        <f>1</f>
        <v>1</v>
      </c>
      <c r="H377" s="1">
        <f t="shared" si="41"/>
        <v>0</v>
      </c>
      <c r="I377" s="1">
        <f t="shared" si="42"/>
        <v>10.75</v>
      </c>
      <c r="J377" s="1">
        <f t="shared" si="43"/>
        <v>0</v>
      </c>
      <c r="K377" s="1">
        <f t="shared" si="44"/>
        <v>10.75</v>
      </c>
      <c r="L377" s="1">
        <f t="shared" si="45"/>
        <v>7857246.115384615</v>
      </c>
      <c r="M377" s="1">
        <f t="shared" si="46"/>
        <v>-8544755.1504807677</v>
      </c>
    </row>
    <row r="378" spans="1:13" x14ac:dyDescent="0.25">
      <c r="A378">
        <f t="shared" si="47"/>
        <v>315</v>
      </c>
      <c r="B378" s="1">
        <f>A378/7</f>
        <v>45</v>
      </c>
      <c r="C378">
        <v>0.8</v>
      </c>
      <c r="D378">
        <v>1</v>
      </c>
      <c r="E378" s="1">
        <f t="shared" si="40"/>
        <v>1.0874999999999997</v>
      </c>
      <c r="F378">
        <v>1</v>
      </c>
      <c r="G378">
        <f>1</f>
        <v>1</v>
      </c>
      <c r="H378" s="1">
        <f t="shared" si="41"/>
        <v>0</v>
      </c>
      <c r="I378" s="1">
        <f t="shared" si="42"/>
        <v>10.75</v>
      </c>
      <c r="J378" s="1">
        <f t="shared" si="43"/>
        <v>0</v>
      </c>
      <c r="K378" s="1">
        <f t="shared" si="44"/>
        <v>10.75</v>
      </c>
      <c r="L378" s="1">
        <f t="shared" si="45"/>
        <v>7296014.25</v>
      </c>
      <c r="M378" s="1">
        <f t="shared" si="46"/>
        <v>-7934415.4968749993</v>
      </c>
    </row>
    <row r="379" spans="1:13" x14ac:dyDescent="0.25">
      <c r="A379">
        <f t="shared" si="47"/>
        <v>315</v>
      </c>
      <c r="B379" s="1">
        <f>A379/7.5</f>
        <v>42</v>
      </c>
      <c r="C379">
        <v>0.8</v>
      </c>
      <c r="D379">
        <v>1</v>
      </c>
      <c r="E379" s="1">
        <f t="shared" si="40"/>
        <v>1.0874999999999997</v>
      </c>
      <c r="F379">
        <v>1</v>
      </c>
      <c r="G379">
        <f>1</f>
        <v>1</v>
      </c>
      <c r="H379" s="1">
        <f t="shared" si="41"/>
        <v>0</v>
      </c>
      <c r="I379" s="1">
        <f t="shared" si="42"/>
        <v>10.75</v>
      </c>
      <c r="J379" s="1">
        <f t="shared" si="43"/>
        <v>0</v>
      </c>
      <c r="K379" s="1">
        <f t="shared" si="44"/>
        <v>10.75</v>
      </c>
      <c r="L379" s="1">
        <f t="shared" si="45"/>
        <v>6809613.3000000007</v>
      </c>
      <c r="M379" s="1">
        <f t="shared" si="46"/>
        <v>-7405454.4637499992</v>
      </c>
    </row>
    <row r="380" spans="1:13" x14ac:dyDescent="0.25">
      <c r="A380">
        <f t="shared" si="47"/>
        <v>315</v>
      </c>
      <c r="B380" s="1">
        <f>A380/5</f>
        <v>63</v>
      </c>
      <c r="C380">
        <v>0.9</v>
      </c>
      <c r="D380">
        <v>1</v>
      </c>
      <c r="E380" s="1">
        <f t="shared" si="40"/>
        <v>1.0311111111111111</v>
      </c>
      <c r="F380">
        <v>1</v>
      </c>
      <c r="G380">
        <f>1</f>
        <v>1</v>
      </c>
      <c r="H380" s="1">
        <f t="shared" si="41"/>
        <v>0</v>
      </c>
      <c r="I380" s="1">
        <f t="shared" si="42"/>
        <v>10.75</v>
      </c>
      <c r="J380" s="1">
        <f t="shared" si="43"/>
        <v>0</v>
      </c>
      <c r="K380" s="1">
        <f t="shared" si="44"/>
        <v>10.75</v>
      </c>
      <c r="L380" s="1">
        <f t="shared" si="45"/>
        <v>11491222.44375</v>
      </c>
      <c r="M380" s="1">
        <f t="shared" si="46"/>
        <v>-11848727.142000001</v>
      </c>
    </row>
    <row r="381" spans="1:13" x14ac:dyDescent="0.25">
      <c r="A381">
        <f t="shared" si="47"/>
        <v>315</v>
      </c>
      <c r="B381" s="1">
        <f>A381/5.5</f>
        <v>57.272727272727273</v>
      </c>
      <c r="C381">
        <v>0.9</v>
      </c>
      <c r="D381">
        <v>1</v>
      </c>
      <c r="E381" s="1">
        <f t="shared" si="40"/>
        <v>1.0311111111111111</v>
      </c>
      <c r="F381">
        <v>1</v>
      </c>
      <c r="G381">
        <f>1</f>
        <v>1</v>
      </c>
      <c r="H381" s="1">
        <f t="shared" si="41"/>
        <v>0</v>
      </c>
      <c r="I381" s="1">
        <f t="shared" si="42"/>
        <v>10.75</v>
      </c>
      <c r="J381" s="1">
        <f t="shared" si="43"/>
        <v>0</v>
      </c>
      <c r="K381" s="1">
        <f t="shared" si="44"/>
        <v>10.75</v>
      </c>
      <c r="L381" s="1">
        <f t="shared" si="45"/>
        <v>10446565.857954547</v>
      </c>
      <c r="M381" s="1">
        <f t="shared" si="46"/>
        <v>-10771570.129090911</v>
      </c>
    </row>
    <row r="382" spans="1:13" x14ac:dyDescent="0.25">
      <c r="A382">
        <f t="shared" si="47"/>
        <v>315</v>
      </c>
      <c r="B382" s="1">
        <f>A382/6</f>
        <v>52.5</v>
      </c>
      <c r="C382">
        <v>0.9</v>
      </c>
      <c r="D382">
        <v>1</v>
      </c>
      <c r="E382" s="1">
        <f t="shared" si="40"/>
        <v>1.0311111111111111</v>
      </c>
      <c r="F382">
        <v>1</v>
      </c>
      <c r="G382">
        <f>1</f>
        <v>1</v>
      </c>
      <c r="H382" s="1">
        <f t="shared" si="41"/>
        <v>0</v>
      </c>
      <c r="I382" s="1">
        <f t="shared" si="42"/>
        <v>10.75</v>
      </c>
      <c r="J382" s="1">
        <f t="shared" si="43"/>
        <v>0</v>
      </c>
      <c r="K382" s="1">
        <f t="shared" si="44"/>
        <v>10.75</v>
      </c>
      <c r="L382" s="1">
        <f t="shared" si="45"/>
        <v>9576018.703125</v>
      </c>
      <c r="M382" s="1">
        <f t="shared" si="46"/>
        <v>-9873939.2850000001</v>
      </c>
    </row>
    <row r="383" spans="1:13" x14ac:dyDescent="0.25">
      <c r="A383">
        <f t="shared" si="47"/>
        <v>315</v>
      </c>
      <c r="B383" s="1">
        <f>A383/6.5</f>
        <v>48.46153846153846</v>
      </c>
      <c r="C383">
        <v>0.9</v>
      </c>
      <c r="D383">
        <v>1</v>
      </c>
      <c r="E383" s="1">
        <f t="shared" si="40"/>
        <v>1.0311111111111111</v>
      </c>
      <c r="F383">
        <v>1</v>
      </c>
      <c r="G383">
        <f>1</f>
        <v>1</v>
      </c>
      <c r="H383" s="1">
        <f t="shared" si="41"/>
        <v>0</v>
      </c>
      <c r="I383" s="1">
        <f t="shared" si="42"/>
        <v>10.75</v>
      </c>
      <c r="J383" s="1">
        <f t="shared" si="43"/>
        <v>0</v>
      </c>
      <c r="K383" s="1">
        <f t="shared" si="44"/>
        <v>10.75</v>
      </c>
      <c r="L383" s="1">
        <f t="shared" si="45"/>
        <v>8839401.879807692</v>
      </c>
      <c r="M383" s="1">
        <f t="shared" si="46"/>
        <v>-9114405.4938461538</v>
      </c>
    </row>
    <row r="384" spans="1:13" x14ac:dyDescent="0.25">
      <c r="A384">
        <f t="shared" si="47"/>
        <v>315</v>
      </c>
      <c r="B384" s="1">
        <f>A384/7</f>
        <v>45</v>
      </c>
      <c r="C384">
        <v>0.9</v>
      </c>
      <c r="D384">
        <v>1</v>
      </c>
      <c r="E384" s="1">
        <f t="shared" si="40"/>
        <v>1.0311111111111111</v>
      </c>
      <c r="F384">
        <v>1</v>
      </c>
      <c r="G384">
        <f>1</f>
        <v>1</v>
      </c>
      <c r="H384" s="1">
        <f t="shared" si="41"/>
        <v>0</v>
      </c>
      <c r="I384" s="1">
        <f t="shared" si="42"/>
        <v>10.75</v>
      </c>
      <c r="J384" s="1">
        <f t="shared" si="43"/>
        <v>0</v>
      </c>
      <c r="K384" s="1">
        <f t="shared" si="44"/>
        <v>10.75</v>
      </c>
      <c r="L384" s="1">
        <f t="shared" si="45"/>
        <v>8208016.03125</v>
      </c>
      <c r="M384" s="1">
        <f t="shared" si="46"/>
        <v>-8463376.5300000012</v>
      </c>
    </row>
    <row r="385" spans="1:13" x14ac:dyDescent="0.25">
      <c r="A385">
        <f t="shared" si="47"/>
        <v>315</v>
      </c>
      <c r="B385" s="1">
        <f>A385/7.5</f>
        <v>42</v>
      </c>
      <c r="C385">
        <v>0.9</v>
      </c>
      <c r="D385">
        <v>1</v>
      </c>
      <c r="E385" s="1">
        <f t="shared" si="40"/>
        <v>1.0311111111111111</v>
      </c>
      <c r="F385">
        <v>1</v>
      </c>
      <c r="G385">
        <f>1</f>
        <v>1</v>
      </c>
      <c r="H385" s="1">
        <f t="shared" si="41"/>
        <v>0</v>
      </c>
      <c r="I385" s="1">
        <f t="shared" si="42"/>
        <v>10.75</v>
      </c>
      <c r="J385" s="1">
        <f t="shared" si="43"/>
        <v>0</v>
      </c>
      <c r="K385" s="1">
        <f t="shared" si="44"/>
        <v>10.75</v>
      </c>
      <c r="L385" s="1">
        <f t="shared" si="45"/>
        <v>7660814.9625000004</v>
      </c>
      <c r="M385" s="1">
        <f t="shared" si="46"/>
        <v>-7899151.4280000003</v>
      </c>
    </row>
    <row r="386" spans="1:13" x14ac:dyDescent="0.25">
      <c r="A386">
        <f t="shared" si="47"/>
        <v>330</v>
      </c>
      <c r="B386" s="1">
        <f>A386/5</f>
        <v>66</v>
      </c>
      <c r="C386">
        <v>0.6</v>
      </c>
      <c r="D386">
        <v>1</v>
      </c>
      <c r="E386" s="1">
        <f t="shared" si="40"/>
        <v>1.2566666666666666</v>
      </c>
      <c r="F386">
        <v>1</v>
      </c>
      <c r="G386">
        <f>1</f>
        <v>1</v>
      </c>
      <c r="H386" s="1">
        <f t="shared" si="41"/>
        <v>0</v>
      </c>
      <c r="I386" s="1">
        <f t="shared" si="42"/>
        <v>10.75</v>
      </c>
      <c r="J386" s="1">
        <f t="shared" si="43"/>
        <v>0</v>
      </c>
      <c r="K386" s="1">
        <f t="shared" si="44"/>
        <v>10.75</v>
      </c>
      <c r="L386" s="1">
        <f t="shared" si="45"/>
        <v>8808158.6999999993</v>
      </c>
      <c r="M386" s="1">
        <f t="shared" si="46"/>
        <v>-11068919.433000002</v>
      </c>
    </row>
    <row r="387" spans="1:13" x14ac:dyDescent="0.25">
      <c r="A387">
        <f t="shared" si="47"/>
        <v>330</v>
      </c>
      <c r="B387" s="1">
        <f>A387/5.5</f>
        <v>60</v>
      </c>
      <c r="C387">
        <v>0.6</v>
      </c>
      <c r="D387">
        <v>1</v>
      </c>
      <c r="E387" s="1">
        <f t="shared" ref="E387:E450" si="48">0.58*(C387+0.7)/C387</f>
        <v>1.2566666666666666</v>
      </c>
      <c r="F387">
        <v>1</v>
      </c>
      <c r="G387">
        <f>1</f>
        <v>1</v>
      </c>
      <c r="H387" s="1">
        <f t="shared" ref="H387:H450" si="49">IF(AND(A387&gt;=90,A387&lt;300),10.75-POWER((300-A387)/100,1.5),0)</f>
        <v>0</v>
      </c>
      <c r="I387" s="1">
        <f t="shared" ref="I387:I450" si="50">IF(AND(A387&gt;=300,A387&lt;350),10.75,0)</f>
        <v>10.75</v>
      </c>
      <c r="J387" s="1">
        <f t="shared" ref="J387:J450" si="51">IF(A387&gt;=350,10.75-POWER((A387-350)/150,1.5),0)</f>
        <v>0</v>
      </c>
      <c r="K387" s="1">
        <f t="shared" ref="K387:K450" si="52">SUM(H387:J387)</f>
        <v>10.75</v>
      </c>
      <c r="L387" s="1">
        <f t="shared" ref="L387:L450" si="53">0.19*D387*F387*G387*K387*A387*A387*B387*C387</f>
        <v>8007417</v>
      </c>
      <c r="M387" s="1">
        <f t="shared" ref="M387:M450" si="54">-0.19*E387*F387*G387*K387*A387*A387*B387*C387</f>
        <v>-10062654.030000001</v>
      </c>
    </row>
    <row r="388" spans="1:13" x14ac:dyDescent="0.25">
      <c r="A388">
        <f t="shared" si="47"/>
        <v>330</v>
      </c>
      <c r="B388" s="1">
        <f>A388/6</f>
        <v>55</v>
      </c>
      <c r="C388">
        <v>0.6</v>
      </c>
      <c r="D388">
        <v>1</v>
      </c>
      <c r="E388" s="1">
        <f t="shared" si="48"/>
        <v>1.2566666666666666</v>
      </c>
      <c r="F388">
        <v>1</v>
      </c>
      <c r="G388">
        <f>1</f>
        <v>1</v>
      </c>
      <c r="H388" s="1">
        <f t="shared" si="49"/>
        <v>0</v>
      </c>
      <c r="I388" s="1">
        <f t="shared" si="50"/>
        <v>10.75</v>
      </c>
      <c r="J388" s="1">
        <f t="shared" si="51"/>
        <v>0</v>
      </c>
      <c r="K388" s="1">
        <f t="shared" si="52"/>
        <v>10.75</v>
      </c>
      <c r="L388" s="1">
        <f t="shared" si="53"/>
        <v>7340132.25</v>
      </c>
      <c r="M388" s="1">
        <f t="shared" si="54"/>
        <v>-9224099.5275000017</v>
      </c>
    </row>
    <row r="389" spans="1:13" x14ac:dyDescent="0.25">
      <c r="A389">
        <f t="shared" si="47"/>
        <v>330</v>
      </c>
      <c r="B389" s="1">
        <f>A389/6.5</f>
        <v>50.769230769230766</v>
      </c>
      <c r="C389">
        <v>0.6</v>
      </c>
      <c r="D389">
        <v>1</v>
      </c>
      <c r="E389" s="1">
        <f t="shared" si="48"/>
        <v>1.2566666666666666</v>
      </c>
      <c r="F389">
        <v>1</v>
      </c>
      <c r="G389">
        <f>1</f>
        <v>1</v>
      </c>
      <c r="H389" s="1">
        <f t="shared" si="49"/>
        <v>0</v>
      </c>
      <c r="I389" s="1">
        <f t="shared" si="50"/>
        <v>10.75</v>
      </c>
      <c r="J389" s="1">
        <f t="shared" si="51"/>
        <v>0</v>
      </c>
      <c r="K389" s="1">
        <f t="shared" si="52"/>
        <v>10.75</v>
      </c>
      <c r="L389" s="1">
        <f t="shared" si="53"/>
        <v>6775506.692307692</v>
      </c>
      <c r="M389" s="1">
        <f t="shared" si="54"/>
        <v>-8514553.4100000001</v>
      </c>
    </row>
    <row r="390" spans="1:13" x14ac:dyDescent="0.25">
      <c r="A390">
        <f t="shared" si="47"/>
        <v>330</v>
      </c>
      <c r="B390" s="1">
        <f>A390/7</f>
        <v>47.142857142857146</v>
      </c>
      <c r="C390">
        <v>0.6</v>
      </c>
      <c r="D390">
        <v>1</v>
      </c>
      <c r="E390" s="1">
        <f t="shared" si="48"/>
        <v>1.2566666666666666</v>
      </c>
      <c r="F390">
        <v>1</v>
      </c>
      <c r="G390">
        <f>1</f>
        <v>1</v>
      </c>
      <c r="H390" s="1">
        <f t="shared" si="49"/>
        <v>0</v>
      </c>
      <c r="I390" s="1">
        <f t="shared" si="50"/>
        <v>10.75</v>
      </c>
      <c r="J390" s="1">
        <f t="shared" si="51"/>
        <v>0</v>
      </c>
      <c r="K390" s="1">
        <f t="shared" si="52"/>
        <v>10.75</v>
      </c>
      <c r="L390" s="1">
        <f t="shared" si="53"/>
        <v>6291541.9285714282</v>
      </c>
      <c r="M390" s="1">
        <f t="shared" si="54"/>
        <v>-7906371.0235714298</v>
      </c>
    </row>
    <row r="391" spans="1:13" x14ac:dyDescent="0.25">
      <c r="A391">
        <f t="shared" si="47"/>
        <v>330</v>
      </c>
      <c r="B391" s="1">
        <f>A391/7.5</f>
        <v>44</v>
      </c>
      <c r="C391">
        <v>0.6</v>
      </c>
      <c r="D391">
        <v>1</v>
      </c>
      <c r="E391" s="1">
        <f t="shared" si="48"/>
        <v>1.2566666666666666</v>
      </c>
      <c r="F391">
        <v>1</v>
      </c>
      <c r="G391">
        <f>1</f>
        <v>1</v>
      </c>
      <c r="H391" s="1">
        <f t="shared" si="49"/>
        <v>0</v>
      </c>
      <c r="I391" s="1">
        <f t="shared" si="50"/>
        <v>10.75</v>
      </c>
      <c r="J391" s="1">
        <f t="shared" si="51"/>
        <v>0</v>
      </c>
      <c r="K391" s="1">
        <f t="shared" si="52"/>
        <v>10.75</v>
      </c>
      <c r="L391" s="1">
        <f t="shared" si="53"/>
        <v>5872105.7999999998</v>
      </c>
      <c r="M391" s="1">
        <f t="shared" si="54"/>
        <v>-7379279.6220000004</v>
      </c>
    </row>
    <row r="392" spans="1:13" x14ac:dyDescent="0.25">
      <c r="A392">
        <f t="shared" si="47"/>
        <v>330</v>
      </c>
      <c r="B392" s="1">
        <f>A392/5</f>
        <v>66</v>
      </c>
      <c r="C392">
        <v>0.7</v>
      </c>
      <c r="D392">
        <v>1</v>
      </c>
      <c r="E392" s="1">
        <f t="shared" si="48"/>
        <v>1.1599999999999999</v>
      </c>
      <c r="F392">
        <v>1</v>
      </c>
      <c r="G392">
        <f>1</f>
        <v>1</v>
      </c>
      <c r="H392" s="1">
        <f t="shared" si="49"/>
        <v>0</v>
      </c>
      <c r="I392" s="1">
        <f t="shared" si="50"/>
        <v>10.75</v>
      </c>
      <c r="J392" s="1">
        <f t="shared" si="51"/>
        <v>0</v>
      </c>
      <c r="K392" s="1">
        <f t="shared" si="52"/>
        <v>10.75</v>
      </c>
      <c r="L392" s="1">
        <f t="shared" si="53"/>
        <v>10276185.149999999</v>
      </c>
      <c r="M392" s="1">
        <f t="shared" si="54"/>
        <v>-11920374.774</v>
      </c>
    </row>
    <row r="393" spans="1:13" x14ac:dyDescent="0.25">
      <c r="A393">
        <f t="shared" si="47"/>
        <v>330</v>
      </c>
      <c r="B393" s="1">
        <f>A393/5.5</f>
        <v>60</v>
      </c>
      <c r="C393">
        <v>0.7</v>
      </c>
      <c r="D393">
        <v>1</v>
      </c>
      <c r="E393" s="1">
        <f t="shared" si="48"/>
        <v>1.1599999999999999</v>
      </c>
      <c r="F393">
        <v>1</v>
      </c>
      <c r="G393">
        <f>1</f>
        <v>1</v>
      </c>
      <c r="H393" s="1">
        <f t="shared" si="49"/>
        <v>0</v>
      </c>
      <c r="I393" s="1">
        <f t="shared" si="50"/>
        <v>10.75</v>
      </c>
      <c r="J393" s="1">
        <f t="shared" si="51"/>
        <v>0</v>
      </c>
      <c r="K393" s="1">
        <f t="shared" si="52"/>
        <v>10.75</v>
      </c>
      <c r="L393" s="1">
        <f t="shared" si="53"/>
        <v>9341986.5</v>
      </c>
      <c r="M393" s="1">
        <f t="shared" si="54"/>
        <v>-10836704.34</v>
      </c>
    </row>
    <row r="394" spans="1:13" x14ac:dyDescent="0.25">
      <c r="A394">
        <f t="shared" si="47"/>
        <v>330</v>
      </c>
      <c r="B394" s="1">
        <f>A394/6</f>
        <v>55</v>
      </c>
      <c r="C394">
        <v>0.7</v>
      </c>
      <c r="D394">
        <v>1</v>
      </c>
      <c r="E394" s="1">
        <f t="shared" si="48"/>
        <v>1.1599999999999999</v>
      </c>
      <c r="F394">
        <v>1</v>
      </c>
      <c r="G394">
        <f>1</f>
        <v>1</v>
      </c>
      <c r="H394" s="1">
        <f t="shared" si="49"/>
        <v>0</v>
      </c>
      <c r="I394" s="1">
        <f t="shared" si="50"/>
        <v>10.75</v>
      </c>
      <c r="J394" s="1">
        <f t="shared" si="51"/>
        <v>0</v>
      </c>
      <c r="K394" s="1">
        <f t="shared" si="52"/>
        <v>10.75</v>
      </c>
      <c r="L394" s="1">
        <f t="shared" si="53"/>
        <v>8563487.625</v>
      </c>
      <c r="M394" s="1">
        <f t="shared" si="54"/>
        <v>-9933645.6449999996</v>
      </c>
    </row>
    <row r="395" spans="1:13" x14ac:dyDescent="0.25">
      <c r="A395">
        <f t="shared" ref="A395:A458" si="55">A371+15</f>
        <v>330</v>
      </c>
      <c r="B395" s="1">
        <f>A395/6.5</f>
        <v>50.769230769230766</v>
      </c>
      <c r="C395">
        <v>0.7</v>
      </c>
      <c r="D395">
        <v>1</v>
      </c>
      <c r="E395" s="1">
        <f t="shared" si="48"/>
        <v>1.1599999999999999</v>
      </c>
      <c r="F395">
        <v>1</v>
      </c>
      <c r="G395">
        <f>1</f>
        <v>1</v>
      </c>
      <c r="H395" s="1">
        <f t="shared" si="49"/>
        <v>0</v>
      </c>
      <c r="I395" s="1">
        <f t="shared" si="50"/>
        <v>10.75</v>
      </c>
      <c r="J395" s="1">
        <f t="shared" si="51"/>
        <v>0</v>
      </c>
      <c r="K395" s="1">
        <f t="shared" si="52"/>
        <v>10.75</v>
      </c>
      <c r="L395" s="1">
        <f t="shared" si="53"/>
        <v>7904757.807692307</v>
      </c>
      <c r="M395" s="1">
        <f t="shared" si="54"/>
        <v>-9169519.0569230765</v>
      </c>
    </row>
    <row r="396" spans="1:13" x14ac:dyDescent="0.25">
      <c r="A396">
        <f t="shared" si="55"/>
        <v>330</v>
      </c>
      <c r="B396" s="1">
        <f>A396/7</f>
        <v>47.142857142857146</v>
      </c>
      <c r="C396">
        <v>0.7</v>
      </c>
      <c r="D396">
        <v>1</v>
      </c>
      <c r="E396" s="1">
        <f t="shared" si="48"/>
        <v>1.1599999999999999</v>
      </c>
      <c r="F396">
        <v>1</v>
      </c>
      <c r="G396">
        <f>1</f>
        <v>1</v>
      </c>
      <c r="H396" s="1">
        <f t="shared" si="49"/>
        <v>0</v>
      </c>
      <c r="I396" s="1">
        <f t="shared" si="50"/>
        <v>10.75</v>
      </c>
      <c r="J396" s="1">
        <f t="shared" si="51"/>
        <v>0</v>
      </c>
      <c r="K396" s="1">
        <f t="shared" si="52"/>
        <v>10.75</v>
      </c>
      <c r="L396" s="1">
        <f t="shared" si="53"/>
        <v>7340132.25</v>
      </c>
      <c r="M396" s="1">
        <f t="shared" si="54"/>
        <v>-8514553.4100000001</v>
      </c>
    </row>
    <row r="397" spans="1:13" x14ac:dyDescent="0.25">
      <c r="A397">
        <f t="shared" si="55"/>
        <v>330</v>
      </c>
      <c r="B397" s="1">
        <f>A397/7.5</f>
        <v>44</v>
      </c>
      <c r="C397">
        <v>0.7</v>
      </c>
      <c r="D397">
        <v>1</v>
      </c>
      <c r="E397" s="1">
        <f t="shared" si="48"/>
        <v>1.1599999999999999</v>
      </c>
      <c r="F397">
        <v>1</v>
      </c>
      <c r="G397">
        <f>1</f>
        <v>1</v>
      </c>
      <c r="H397" s="1">
        <f t="shared" si="49"/>
        <v>0</v>
      </c>
      <c r="I397" s="1">
        <f t="shared" si="50"/>
        <v>10.75</v>
      </c>
      <c r="J397" s="1">
        <f t="shared" si="51"/>
        <v>0</v>
      </c>
      <c r="K397" s="1">
        <f t="shared" si="52"/>
        <v>10.75</v>
      </c>
      <c r="L397" s="1">
        <f t="shared" si="53"/>
        <v>6850790.0999999996</v>
      </c>
      <c r="M397" s="1">
        <f t="shared" si="54"/>
        <v>-7946916.5159999998</v>
      </c>
    </row>
    <row r="398" spans="1:13" x14ac:dyDescent="0.25">
      <c r="A398">
        <f t="shared" si="55"/>
        <v>330</v>
      </c>
      <c r="B398" s="1">
        <f>A398/5</f>
        <v>66</v>
      </c>
      <c r="C398">
        <v>0.8</v>
      </c>
      <c r="D398">
        <v>1</v>
      </c>
      <c r="E398" s="1">
        <f t="shared" si="48"/>
        <v>1.0874999999999997</v>
      </c>
      <c r="F398">
        <v>1</v>
      </c>
      <c r="G398">
        <f>1</f>
        <v>1</v>
      </c>
      <c r="H398" s="1">
        <f t="shared" si="49"/>
        <v>0</v>
      </c>
      <c r="I398" s="1">
        <f t="shared" si="50"/>
        <v>10.75</v>
      </c>
      <c r="J398" s="1">
        <f t="shared" si="51"/>
        <v>0</v>
      </c>
      <c r="K398" s="1">
        <f t="shared" si="52"/>
        <v>10.75</v>
      </c>
      <c r="L398" s="1">
        <f t="shared" si="53"/>
        <v>11744211.600000001</v>
      </c>
      <c r="M398" s="1">
        <f t="shared" si="54"/>
        <v>-12771830.114999996</v>
      </c>
    </row>
    <row r="399" spans="1:13" x14ac:dyDescent="0.25">
      <c r="A399">
        <f t="shared" si="55"/>
        <v>330</v>
      </c>
      <c r="B399" s="1">
        <f>A399/5.5</f>
        <v>60</v>
      </c>
      <c r="C399">
        <v>0.8</v>
      </c>
      <c r="D399">
        <v>1</v>
      </c>
      <c r="E399" s="1">
        <f t="shared" si="48"/>
        <v>1.0874999999999997</v>
      </c>
      <c r="F399">
        <v>1</v>
      </c>
      <c r="G399">
        <f>1</f>
        <v>1</v>
      </c>
      <c r="H399" s="1">
        <f t="shared" si="49"/>
        <v>0</v>
      </c>
      <c r="I399" s="1">
        <f t="shared" si="50"/>
        <v>10.75</v>
      </c>
      <c r="J399" s="1">
        <f t="shared" si="51"/>
        <v>0</v>
      </c>
      <c r="K399" s="1">
        <f t="shared" si="52"/>
        <v>10.75</v>
      </c>
      <c r="L399" s="1">
        <f t="shared" si="53"/>
        <v>10676556</v>
      </c>
      <c r="M399" s="1">
        <f t="shared" si="54"/>
        <v>-11610754.649999999</v>
      </c>
    </row>
    <row r="400" spans="1:13" x14ac:dyDescent="0.25">
      <c r="A400">
        <f t="shared" si="55"/>
        <v>330</v>
      </c>
      <c r="B400" s="1">
        <f>A400/6</f>
        <v>55</v>
      </c>
      <c r="C400">
        <v>0.8</v>
      </c>
      <c r="D400">
        <v>1</v>
      </c>
      <c r="E400" s="1">
        <f t="shared" si="48"/>
        <v>1.0874999999999997</v>
      </c>
      <c r="F400">
        <v>1</v>
      </c>
      <c r="G400">
        <f>1</f>
        <v>1</v>
      </c>
      <c r="H400" s="1">
        <f t="shared" si="49"/>
        <v>0</v>
      </c>
      <c r="I400" s="1">
        <f t="shared" si="50"/>
        <v>10.75</v>
      </c>
      <c r="J400" s="1">
        <f t="shared" si="51"/>
        <v>0</v>
      </c>
      <c r="K400" s="1">
        <f t="shared" si="52"/>
        <v>10.75</v>
      </c>
      <c r="L400" s="1">
        <f t="shared" si="53"/>
        <v>9786843</v>
      </c>
      <c r="M400" s="1">
        <f t="shared" si="54"/>
        <v>-10643191.762499997</v>
      </c>
    </row>
    <row r="401" spans="1:13" x14ac:dyDescent="0.25">
      <c r="A401">
        <f t="shared" si="55"/>
        <v>330</v>
      </c>
      <c r="B401" s="1">
        <f>A401/6.5</f>
        <v>50.769230769230766</v>
      </c>
      <c r="C401">
        <v>0.8</v>
      </c>
      <c r="D401">
        <v>1</v>
      </c>
      <c r="E401" s="1">
        <f t="shared" si="48"/>
        <v>1.0874999999999997</v>
      </c>
      <c r="F401">
        <v>1</v>
      </c>
      <c r="G401">
        <f>1</f>
        <v>1</v>
      </c>
      <c r="H401" s="1">
        <f t="shared" si="49"/>
        <v>0</v>
      </c>
      <c r="I401" s="1">
        <f t="shared" si="50"/>
        <v>10.75</v>
      </c>
      <c r="J401" s="1">
        <f t="shared" si="51"/>
        <v>0</v>
      </c>
      <c r="K401" s="1">
        <f t="shared" si="52"/>
        <v>10.75</v>
      </c>
      <c r="L401" s="1">
        <f t="shared" si="53"/>
        <v>9034008.9230769239</v>
      </c>
      <c r="M401" s="1">
        <f t="shared" si="54"/>
        <v>-9824484.703846151</v>
      </c>
    </row>
    <row r="402" spans="1:13" x14ac:dyDescent="0.25">
      <c r="A402">
        <f t="shared" si="55"/>
        <v>330</v>
      </c>
      <c r="B402" s="1">
        <f>A402/7</f>
        <v>47.142857142857146</v>
      </c>
      <c r="C402">
        <v>0.8</v>
      </c>
      <c r="D402">
        <v>1</v>
      </c>
      <c r="E402" s="1">
        <f t="shared" si="48"/>
        <v>1.0874999999999997</v>
      </c>
      <c r="F402">
        <v>1</v>
      </c>
      <c r="G402">
        <f>1</f>
        <v>1</v>
      </c>
      <c r="H402" s="1">
        <f t="shared" si="49"/>
        <v>0</v>
      </c>
      <c r="I402" s="1">
        <f t="shared" si="50"/>
        <v>10.75</v>
      </c>
      <c r="J402" s="1">
        <f t="shared" si="51"/>
        <v>0</v>
      </c>
      <c r="K402" s="1">
        <f t="shared" si="52"/>
        <v>10.75</v>
      </c>
      <c r="L402" s="1">
        <f t="shared" si="53"/>
        <v>8388722.5714285728</v>
      </c>
      <c r="M402" s="1">
        <f t="shared" si="54"/>
        <v>-9122735.7964285687</v>
      </c>
    </row>
    <row r="403" spans="1:13" x14ac:dyDescent="0.25">
      <c r="A403">
        <f t="shared" si="55"/>
        <v>330</v>
      </c>
      <c r="B403" s="1">
        <f>A403/7.5</f>
        <v>44</v>
      </c>
      <c r="C403">
        <v>0.8</v>
      </c>
      <c r="D403">
        <v>1</v>
      </c>
      <c r="E403" s="1">
        <f t="shared" si="48"/>
        <v>1.0874999999999997</v>
      </c>
      <c r="F403">
        <v>1</v>
      </c>
      <c r="G403">
        <f>1</f>
        <v>1</v>
      </c>
      <c r="H403" s="1">
        <f t="shared" si="49"/>
        <v>0</v>
      </c>
      <c r="I403" s="1">
        <f t="shared" si="50"/>
        <v>10.75</v>
      </c>
      <c r="J403" s="1">
        <f t="shared" si="51"/>
        <v>0</v>
      </c>
      <c r="K403" s="1">
        <f t="shared" si="52"/>
        <v>10.75</v>
      </c>
      <c r="L403" s="1">
        <f t="shared" si="53"/>
        <v>7829474.4000000004</v>
      </c>
      <c r="M403" s="1">
        <f t="shared" si="54"/>
        <v>-8514553.4099999983</v>
      </c>
    </row>
    <row r="404" spans="1:13" x14ac:dyDescent="0.25">
      <c r="A404">
        <f t="shared" si="55"/>
        <v>330</v>
      </c>
      <c r="B404" s="1">
        <f>A404/5</f>
        <v>66</v>
      </c>
      <c r="C404">
        <v>0.9</v>
      </c>
      <c r="D404">
        <v>1</v>
      </c>
      <c r="E404" s="1">
        <f t="shared" si="48"/>
        <v>1.0311111111111111</v>
      </c>
      <c r="F404">
        <v>1</v>
      </c>
      <c r="G404">
        <f>1</f>
        <v>1</v>
      </c>
      <c r="H404" s="1">
        <f t="shared" si="49"/>
        <v>0</v>
      </c>
      <c r="I404" s="1">
        <f t="shared" si="50"/>
        <v>10.75</v>
      </c>
      <c r="J404" s="1">
        <f t="shared" si="51"/>
        <v>0</v>
      </c>
      <c r="K404" s="1">
        <f t="shared" si="52"/>
        <v>10.75</v>
      </c>
      <c r="L404" s="1">
        <f t="shared" si="53"/>
        <v>13212238.050000001</v>
      </c>
      <c r="M404" s="1">
        <f t="shared" si="54"/>
        <v>-13623285.456000002</v>
      </c>
    </row>
    <row r="405" spans="1:13" x14ac:dyDescent="0.25">
      <c r="A405">
        <f t="shared" si="55"/>
        <v>330</v>
      </c>
      <c r="B405" s="1">
        <f>A405/5.5</f>
        <v>60</v>
      </c>
      <c r="C405">
        <v>0.9</v>
      </c>
      <c r="D405">
        <v>1</v>
      </c>
      <c r="E405" s="1">
        <f t="shared" si="48"/>
        <v>1.0311111111111111</v>
      </c>
      <c r="F405">
        <v>1</v>
      </c>
      <c r="G405">
        <f>1</f>
        <v>1</v>
      </c>
      <c r="H405" s="1">
        <f t="shared" si="49"/>
        <v>0</v>
      </c>
      <c r="I405" s="1">
        <f t="shared" si="50"/>
        <v>10.75</v>
      </c>
      <c r="J405" s="1">
        <f t="shared" si="51"/>
        <v>0</v>
      </c>
      <c r="K405" s="1">
        <f t="shared" si="52"/>
        <v>10.75</v>
      </c>
      <c r="L405" s="1">
        <f t="shared" si="53"/>
        <v>12011125.5</v>
      </c>
      <c r="M405" s="1">
        <f t="shared" si="54"/>
        <v>-12384804.960000001</v>
      </c>
    </row>
    <row r="406" spans="1:13" x14ac:dyDescent="0.25">
      <c r="A406">
        <f t="shared" si="55"/>
        <v>330</v>
      </c>
      <c r="B406" s="1">
        <f>A406/6</f>
        <v>55</v>
      </c>
      <c r="C406">
        <v>0.9</v>
      </c>
      <c r="D406">
        <v>1</v>
      </c>
      <c r="E406" s="1">
        <f t="shared" si="48"/>
        <v>1.0311111111111111</v>
      </c>
      <c r="F406">
        <v>1</v>
      </c>
      <c r="G406">
        <f>1</f>
        <v>1</v>
      </c>
      <c r="H406" s="1">
        <f t="shared" si="49"/>
        <v>0</v>
      </c>
      <c r="I406" s="1">
        <f t="shared" si="50"/>
        <v>10.75</v>
      </c>
      <c r="J406" s="1">
        <f t="shared" si="51"/>
        <v>0</v>
      </c>
      <c r="K406" s="1">
        <f t="shared" si="52"/>
        <v>10.75</v>
      </c>
      <c r="L406" s="1">
        <f t="shared" si="53"/>
        <v>11010198.375</v>
      </c>
      <c r="M406" s="1">
        <f t="shared" si="54"/>
        <v>-11352737.880000001</v>
      </c>
    </row>
    <row r="407" spans="1:13" x14ac:dyDescent="0.25">
      <c r="A407">
        <f t="shared" si="55"/>
        <v>330</v>
      </c>
      <c r="B407" s="1">
        <f>A407/6.5</f>
        <v>50.769230769230766</v>
      </c>
      <c r="C407">
        <v>0.9</v>
      </c>
      <c r="D407">
        <v>1</v>
      </c>
      <c r="E407" s="1">
        <f t="shared" si="48"/>
        <v>1.0311111111111111</v>
      </c>
      <c r="F407">
        <v>1</v>
      </c>
      <c r="G407">
        <f>1</f>
        <v>1</v>
      </c>
      <c r="H407" s="1">
        <f t="shared" si="49"/>
        <v>0</v>
      </c>
      <c r="I407" s="1">
        <f t="shared" si="50"/>
        <v>10.75</v>
      </c>
      <c r="J407" s="1">
        <f t="shared" si="51"/>
        <v>0</v>
      </c>
      <c r="K407" s="1">
        <f t="shared" si="52"/>
        <v>10.75</v>
      </c>
      <c r="L407" s="1">
        <f t="shared" si="53"/>
        <v>10163260.038461538</v>
      </c>
      <c r="M407" s="1">
        <f t="shared" si="54"/>
        <v>-10479450.350769231</v>
      </c>
    </row>
    <row r="408" spans="1:13" x14ac:dyDescent="0.25">
      <c r="A408">
        <f t="shared" si="55"/>
        <v>330</v>
      </c>
      <c r="B408" s="1">
        <f>A408/7</f>
        <v>47.142857142857146</v>
      </c>
      <c r="C408">
        <v>0.9</v>
      </c>
      <c r="D408">
        <v>1</v>
      </c>
      <c r="E408" s="1">
        <f t="shared" si="48"/>
        <v>1.0311111111111111</v>
      </c>
      <c r="F408">
        <v>1</v>
      </c>
      <c r="G408">
        <f>1</f>
        <v>1</v>
      </c>
      <c r="H408" s="1">
        <f t="shared" si="49"/>
        <v>0</v>
      </c>
      <c r="I408" s="1">
        <f t="shared" si="50"/>
        <v>10.75</v>
      </c>
      <c r="J408" s="1">
        <f t="shared" si="51"/>
        <v>0</v>
      </c>
      <c r="K408" s="1">
        <f t="shared" si="52"/>
        <v>10.75</v>
      </c>
      <c r="L408" s="1">
        <f t="shared" si="53"/>
        <v>9437312.8928571437</v>
      </c>
      <c r="M408" s="1">
        <f t="shared" si="54"/>
        <v>-9730918.1828571446</v>
      </c>
    </row>
    <row r="409" spans="1:13" x14ac:dyDescent="0.25">
      <c r="A409">
        <f t="shared" si="55"/>
        <v>330</v>
      </c>
      <c r="B409" s="1">
        <f>A409/7.5</f>
        <v>44</v>
      </c>
      <c r="C409">
        <v>0.9</v>
      </c>
      <c r="D409">
        <v>1</v>
      </c>
      <c r="E409" s="1">
        <f t="shared" si="48"/>
        <v>1.0311111111111111</v>
      </c>
      <c r="F409">
        <v>1</v>
      </c>
      <c r="G409">
        <f>1</f>
        <v>1</v>
      </c>
      <c r="H409" s="1">
        <f t="shared" si="49"/>
        <v>0</v>
      </c>
      <c r="I409" s="1">
        <f t="shared" si="50"/>
        <v>10.75</v>
      </c>
      <c r="J409" s="1">
        <f t="shared" si="51"/>
        <v>0</v>
      </c>
      <c r="K409" s="1">
        <f t="shared" si="52"/>
        <v>10.75</v>
      </c>
      <c r="L409" s="1">
        <f t="shared" si="53"/>
        <v>8808158.7000000011</v>
      </c>
      <c r="M409" s="1">
        <f t="shared" si="54"/>
        <v>-9082190.3040000014</v>
      </c>
    </row>
    <row r="410" spans="1:13" x14ac:dyDescent="0.25">
      <c r="A410">
        <f t="shared" si="55"/>
        <v>345</v>
      </c>
      <c r="B410" s="1">
        <f>A410/5</f>
        <v>69</v>
      </c>
      <c r="C410">
        <v>0.6</v>
      </c>
      <c r="D410">
        <v>1</v>
      </c>
      <c r="E410" s="1">
        <f t="shared" si="48"/>
        <v>1.2566666666666666</v>
      </c>
      <c r="F410">
        <v>1</v>
      </c>
      <c r="G410">
        <f>1</f>
        <v>1</v>
      </c>
      <c r="H410" s="1">
        <f t="shared" si="49"/>
        <v>0</v>
      </c>
      <c r="I410" s="1">
        <f t="shared" si="50"/>
        <v>10.75</v>
      </c>
      <c r="J410" s="1">
        <f t="shared" si="51"/>
        <v>0</v>
      </c>
      <c r="K410" s="1">
        <f t="shared" si="52"/>
        <v>10.75</v>
      </c>
      <c r="L410" s="1">
        <f t="shared" si="53"/>
        <v>10064694.487499999</v>
      </c>
      <c r="M410" s="1">
        <f t="shared" si="54"/>
        <v>-12647966.072624998</v>
      </c>
    </row>
    <row r="411" spans="1:13" x14ac:dyDescent="0.25">
      <c r="A411">
        <f t="shared" si="55"/>
        <v>345</v>
      </c>
      <c r="B411" s="1">
        <f>A411/5.5</f>
        <v>62.727272727272727</v>
      </c>
      <c r="C411">
        <v>0.6</v>
      </c>
      <c r="D411">
        <v>1</v>
      </c>
      <c r="E411" s="1">
        <f t="shared" si="48"/>
        <v>1.2566666666666666</v>
      </c>
      <c r="F411">
        <v>1</v>
      </c>
      <c r="G411">
        <f>1</f>
        <v>1</v>
      </c>
      <c r="H411" s="1">
        <f t="shared" si="49"/>
        <v>0</v>
      </c>
      <c r="I411" s="1">
        <f t="shared" si="50"/>
        <v>10.75</v>
      </c>
      <c r="J411" s="1">
        <f t="shared" si="51"/>
        <v>0</v>
      </c>
      <c r="K411" s="1">
        <f t="shared" si="52"/>
        <v>10.75</v>
      </c>
      <c r="L411" s="1">
        <f t="shared" si="53"/>
        <v>9149722.2613636348</v>
      </c>
      <c r="M411" s="1">
        <f t="shared" si="54"/>
        <v>-11498150.975113636</v>
      </c>
    </row>
    <row r="412" spans="1:13" x14ac:dyDescent="0.25">
      <c r="A412">
        <f t="shared" si="55"/>
        <v>345</v>
      </c>
      <c r="B412" s="1">
        <f>A412/6</f>
        <v>57.5</v>
      </c>
      <c r="C412">
        <v>0.6</v>
      </c>
      <c r="D412">
        <v>1</v>
      </c>
      <c r="E412" s="1">
        <f t="shared" si="48"/>
        <v>1.2566666666666666</v>
      </c>
      <c r="F412">
        <v>1</v>
      </c>
      <c r="G412">
        <f>1</f>
        <v>1</v>
      </c>
      <c r="H412" s="1">
        <f t="shared" si="49"/>
        <v>0</v>
      </c>
      <c r="I412" s="1">
        <f t="shared" si="50"/>
        <v>10.75</v>
      </c>
      <c r="J412" s="1">
        <f t="shared" si="51"/>
        <v>0</v>
      </c>
      <c r="K412" s="1">
        <f t="shared" si="52"/>
        <v>10.75</v>
      </c>
      <c r="L412" s="1">
        <f t="shared" si="53"/>
        <v>8387245.40625</v>
      </c>
      <c r="M412" s="1">
        <f t="shared" si="54"/>
        <v>-10539971.727187501</v>
      </c>
    </row>
    <row r="413" spans="1:13" x14ac:dyDescent="0.25">
      <c r="A413">
        <f t="shared" si="55"/>
        <v>345</v>
      </c>
      <c r="B413" s="1">
        <f>A413/6.5</f>
        <v>53.07692307692308</v>
      </c>
      <c r="C413">
        <v>0.6</v>
      </c>
      <c r="D413">
        <v>1</v>
      </c>
      <c r="E413" s="1">
        <f t="shared" si="48"/>
        <v>1.2566666666666666</v>
      </c>
      <c r="F413">
        <v>1</v>
      </c>
      <c r="G413">
        <f>1</f>
        <v>1</v>
      </c>
      <c r="H413" s="1">
        <f t="shared" si="49"/>
        <v>0</v>
      </c>
      <c r="I413" s="1">
        <f t="shared" si="50"/>
        <v>10.75</v>
      </c>
      <c r="J413" s="1">
        <f t="shared" si="51"/>
        <v>0</v>
      </c>
      <c r="K413" s="1">
        <f t="shared" si="52"/>
        <v>10.75</v>
      </c>
      <c r="L413" s="1">
        <f t="shared" si="53"/>
        <v>7742072.682692308</v>
      </c>
      <c r="M413" s="1">
        <f t="shared" si="54"/>
        <v>-9729204.6712500006</v>
      </c>
    </row>
    <row r="414" spans="1:13" x14ac:dyDescent="0.25">
      <c r="A414">
        <f t="shared" si="55"/>
        <v>345</v>
      </c>
      <c r="B414" s="1">
        <f>A414/7</f>
        <v>49.285714285714285</v>
      </c>
      <c r="C414">
        <v>0.6</v>
      </c>
      <c r="D414">
        <v>1</v>
      </c>
      <c r="E414" s="1">
        <f t="shared" si="48"/>
        <v>1.2566666666666666</v>
      </c>
      <c r="F414">
        <v>1</v>
      </c>
      <c r="G414">
        <f>1</f>
        <v>1</v>
      </c>
      <c r="H414" s="1">
        <f t="shared" si="49"/>
        <v>0</v>
      </c>
      <c r="I414" s="1">
        <f t="shared" si="50"/>
        <v>10.75</v>
      </c>
      <c r="J414" s="1">
        <f t="shared" si="51"/>
        <v>0</v>
      </c>
      <c r="K414" s="1">
        <f t="shared" si="52"/>
        <v>10.75</v>
      </c>
      <c r="L414" s="1">
        <f t="shared" si="53"/>
        <v>7189067.4910714282</v>
      </c>
      <c r="M414" s="1">
        <f t="shared" si="54"/>
        <v>-9034261.4804464281</v>
      </c>
    </row>
    <row r="415" spans="1:13" x14ac:dyDescent="0.25">
      <c r="A415">
        <f t="shared" si="55"/>
        <v>345</v>
      </c>
      <c r="B415" s="1">
        <f>A415/7.5</f>
        <v>46</v>
      </c>
      <c r="C415">
        <v>0.6</v>
      </c>
      <c r="D415">
        <v>1</v>
      </c>
      <c r="E415" s="1">
        <f t="shared" si="48"/>
        <v>1.2566666666666666</v>
      </c>
      <c r="F415">
        <v>1</v>
      </c>
      <c r="G415">
        <f>1</f>
        <v>1</v>
      </c>
      <c r="H415" s="1">
        <f t="shared" si="49"/>
        <v>0</v>
      </c>
      <c r="I415" s="1">
        <f t="shared" si="50"/>
        <v>10.75</v>
      </c>
      <c r="J415" s="1">
        <f t="shared" si="51"/>
        <v>0</v>
      </c>
      <c r="K415" s="1">
        <f t="shared" si="52"/>
        <v>10.75</v>
      </c>
      <c r="L415" s="1">
        <f t="shared" si="53"/>
        <v>6709796.3250000002</v>
      </c>
      <c r="M415" s="1">
        <f t="shared" si="54"/>
        <v>-8431977.3817500006</v>
      </c>
    </row>
    <row r="416" spans="1:13" x14ac:dyDescent="0.25">
      <c r="A416">
        <f t="shared" si="55"/>
        <v>345</v>
      </c>
      <c r="B416" s="1">
        <f>A416/5</f>
        <v>69</v>
      </c>
      <c r="C416">
        <v>0.7</v>
      </c>
      <c r="D416">
        <v>1</v>
      </c>
      <c r="E416" s="1">
        <f t="shared" si="48"/>
        <v>1.1599999999999999</v>
      </c>
      <c r="F416">
        <v>1</v>
      </c>
      <c r="G416">
        <f>1</f>
        <v>1</v>
      </c>
      <c r="H416" s="1">
        <f t="shared" si="49"/>
        <v>0</v>
      </c>
      <c r="I416" s="1">
        <f t="shared" si="50"/>
        <v>10.75</v>
      </c>
      <c r="J416" s="1">
        <f t="shared" si="51"/>
        <v>0</v>
      </c>
      <c r="K416" s="1">
        <f t="shared" si="52"/>
        <v>10.75</v>
      </c>
      <c r="L416" s="1">
        <f t="shared" si="53"/>
        <v>11742143.56875</v>
      </c>
      <c r="M416" s="1">
        <f t="shared" si="54"/>
        <v>-13620886.53975</v>
      </c>
    </row>
    <row r="417" spans="1:13" x14ac:dyDescent="0.25">
      <c r="A417">
        <f t="shared" si="55"/>
        <v>345</v>
      </c>
      <c r="B417" s="1">
        <f>A417/5.5</f>
        <v>62.727272727272727</v>
      </c>
      <c r="C417">
        <v>0.7</v>
      </c>
      <c r="D417">
        <v>1</v>
      </c>
      <c r="E417" s="1">
        <f t="shared" si="48"/>
        <v>1.1599999999999999</v>
      </c>
      <c r="F417">
        <v>1</v>
      </c>
      <c r="G417">
        <f>1</f>
        <v>1</v>
      </c>
      <c r="H417" s="1">
        <f t="shared" si="49"/>
        <v>0</v>
      </c>
      <c r="I417" s="1">
        <f t="shared" si="50"/>
        <v>10.75</v>
      </c>
      <c r="J417" s="1">
        <f t="shared" si="51"/>
        <v>0</v>
      </c>
      <c r="K417" s="1">
        <f t="shared" si="52"/>
        <v>10.75</v>
      </c>
      <c r="L417" s="1">
        <f t="shared" si="53"/>
        <v>10674675.971590908</v>
      </c>
      <c r="M417" s="1">
        <f t="shared" si="54"/>
        <v>-12382624.127045454</v>
      </c>
    </row>
    <row r="418" spans="1:13" x14ac:dyDescent="0.25">
      <c r="A418">
        <f t="shared" si="55"/>
        <v>345</v>
      </c>
      <c r="B418" s="1">
        <f>A418/6</f>
        <v>57.5</v>
      </c>
      <c r="C418">
        <v>0.7</v>
      </c>
      <c r="D418">
        <v>1</v>
      </c>
      <c r="E418" s="1">
        <f t="shared" si="48"/>
        <v>1.1599999999999999</v>
      </c>
      <c r="F418">
        <v>1</v>
      </c>
      <c r="G418">
        <f>1</f>
        <v>1</v>
      </c>
      <c r="H418" s="1">
        <f t="shared" si="49"/>
        <v>0</v>
      </c>
      <c r="I418" s="1">
        <f t="shared" si="50"/>
        <v>10.75</v>
      </c>
      <c r="J418" s="1">
        <f t="shared" si="51"/>
        <v>0</v>
      </c>
      <c r="K418" s="1">
        <f t="shared" si="52"/>
        <v>10.75</v>
      </c>
      <c r="L418" s="1">
        <f t="shared" si="53"/>
        <v>9785119.640625</v>
      </c>
      <c r="M418" s="1">
        <f t="shared" si="54"/>
        <v>-11350738.783125</v>
      </c>
    </row>
    <row r="419" spans="1:13" x14ac:dyDescent="0.25">
      <c r="A419">
        <f t="shared" si="55"/>
        <v>345</v>
      </c>
      <c r="B419" s="1">
        <f>A419/6.5</f>
        <v>53.07692307692308</v>
      </c>
      <c r="C419">
        <v>0.7</v>
      </c>
      <c r="D419">
        <v>1</v>
      </c>
      <c r="E419" s="1">
        <f t="shared" si="48"/>
        <v>1.1599999999999999</v>
      </c>
      <c r="F419">
        <v>1</v>
      </c>
      <c r="G419">
        <f>1</f>
        <v>1</v>
      </c>
      <c r="H419" s="1">
        <f t="shared" si="49"/>
        <v>0</v>
      </c>
      <c r="I419" s="1">
        <f t="shared" si="50"/>
        <v>10.75</v>
      </c>
      <c r="J419" s="1">
        <f t="shared" si="51"/>
        <v>0</v>
      </c>
      <c r="K419" s="1">
        <f t="shared" si="52"/>
        <v>10.75</v>
      </c>
      <c r="L419" s="1">
        <f t="shared" si="53"/>
        <v>9032418.129807692</v>
      </c>
      <c r="M419" s="1">
        <f t="shared" si="54"/>
        <v>-10477605.030576922</v>
      </c>
    </row>
    <row r="420" spans="1:13" x14ac:dyDescent="0.25">
      <c r="A420">
        <f t="shared" si="55"/>
        <v>345</v>
      </c>
      <c r="B420" s="1">
        <f>A420/7</f>
        <v>49.285714285714285</v>
      </c>
      <c r="C420">
        <v>0.7</v>
      </c>
      <c r="D420">
        <v>1</v>
      </c>
      <c r="E420" s="1">
        <f t="shared" si="48"/>
        <v>1.1599999999999999</v>
      </c>
      <c r="F420">
        <v>1</v>
      </c>
      <c r="G420">
        <f>1</f>
        <v>1</v>
      </c>
      <c r="H420" s="1">
        <f t="shared" si="49"/>
        <v>0</v>
      </c>
      <c r="I420" s="1">
        <f t="shared" si="50"/>
        <v>10.75</v>
      </c>
      <c r="J420" s="1">
        <f t="shared" si="51"/>
        <v>0</v>
      </c>
      <c r="K420" s="1">
        <f t="shared" si="52"/>
        <v>10.75</v>
      </c>
      <c r="L420" s="1">
        <f t="shared" si="53"/>
        <v>8387245.40625</v>
      </c>
      <c r="M420" s="1">
        <f t="shared" si="54"/>
        <v>-9729204.6712499987</v>
      </c>
    </row>
    <row r="421" spans="1:13" x14ac:dyDescent="0.25">
      <c r="A421">
        <f t="shared" si="55"/>
        <v>345</v>
      </c>
      <c r="B421" s="1">
        <f>A421/7.5</f>
        <v>46</v>
      </c>
      <c r="C421">
        <v>0.7</v>
      </c>
      <c r="D421">
        <v>1</v>
      </c>
      <c r="E421" s="1">
        <f t="shared" si="48"/>
        <v>1.1599999999999999</v>
      </c>
      <c r="F421">
        <v>1</v>
      </c>
      <c r="G421">
        <f>1</f>
        <v>1</v>
      </c>
      <c r="H421" s="1">
        <f t="shared" si="49"/>
        <v>0</v>
      </c>
      <c r="I421" s="1">
        <f t="shared" si="50"/>
        <v>10.75</v>
      </c>
      <c r="J421" s="1">
        <f t="shared" si="51"/>
        <v>0</v>
      </c>
      <c r="K421" s="1">
        <f t="shared" si="52"/>
        <v>10.75</v>
      </c>
      <c r="L421" s="1">
        <f t="shared" si="53"/>
        <v>7828095.7124999994</v>
      </c>
      <c r="M421" s="1">
        <f t="shared" si="54"/>
        <v>-9080591.0264999997</v>
      </c>
    </row>
    <row r="422" spans="1:13" x14ac:dyDescent="0.25">
      <c r="A422">
        <f t="shared" si="55"/>
        <v>345</v>
      </c>
      <c r="B422" s="1">
        <f>A422/5</f>
        <v>69</v>
      </c>
      <c r="C422">
        <v>0.8</v>
      </c>
      <c r="D422">
        <v>1</v>
      </c>
      <c r="E422" s="1">
        <f t="shared" si="48"/>
        <v>1.0874999999999997</v>
      </c>
      <c r="F422">
        <v>1</v>
      </c>
      <c r="G422">
        <f>1</f>
        <v>1</v>
      </c>
      <c r="H422" s="1">
        <f t="shared" si="49"/>
        <v>0</v>
      </c>
      <c r="I422" s="1">
        <f t="shared" si="50"/>
        <v>10.75</v>
      </c>
      <c r="J422" s="1">
        <f t="shared" si="51"/>
        <v>0</v>
      </c>
      <c r="K422" s="1">
        <f t="shared" si="52"/>
        <v>10.75</v>
      </c>
      <c r="L422" s="1">
        <f t="shared" si="53"/>
        <v>13419592.65</v>
      </c>
      <c r="M422" s="1">
        <f t="shared" si="54"/>
        <v>-14593807.006874997</v>
      </c>
    </row>
    <row r="423" spans="1:13" x14ac:dyDescent="0.25">
      <c r="A423">
        <f t="shared" si="55"/>
        <v>345</v>
      </c>
      <c r="B423" s="1">
        <f>A423/5.5</f>
        <v>62.727272727272727</v>
      </c>
      <c r="C423">
        <v>0.8</v>
      </c>
      <c r="D423">
        <v>1</v>
      </c>
      <c r="E423" s="1">
        <f t="shared" si="48"/>
        <v>1.0874999999999997</v>
      </c>
      <c r="F423">
        <v>1</v>
      </c>
      <c r="G423">
        <f>1</f>
        <v>1</v>
      </c>
      <c r="H423" s="1">
        <f t="shared" si="49"/>
        <v>0</v>
      </c>
      <c r="I423" s="1">
        <f t="shared" si="50"/>
        <v>10.75</v>
      </c>
      <c r="J423" s="1">
        <f t="shared" si="51"/>
        <v>0</v>
      </c>
      <c r="K423" s="1">
        <f t="shared" si="52"/>
        <v>10.75</v>
      </c>
      <c r="L423" s="1">
        <f t="shared" si="53"/>
        <v>12199629.681818182</v>
      </c>
      <c r="M423" s="1">
        <f t="shared" si="54"/>
        <v>-13267097.278977269</v>
      </c>
    </row>
    <row r="424" spans="1:13" x14ac:dyDescent="0.25">
      <c r="A424">
        <f t="shared" si="55"/>
        <v>345</v>
      </c>
      <c r="B424" s="1">
        <f>A424/6</f>
        <v>57.5</v>
      </c>
      <c r="C424">
        <v>0.8</v>
      </c>
      <c r="D424">
        <v>1</v>
      </c>
      <c r="E424" s="1">
        <f t="shared" si="48"/>
        <v>1.0874999999999997</v>
      </c>
      <c r="F424">
        <v>1</v>
      </c>
      <c r="G424">
        <f>1</f>
        <v>1</v>
      </c>
      <c r="H424" s="1">
        <f t="shared" si="49"/>
        <v>0</v>
      </c>
      <c r="I424" s="1">
        <f t="shared" si="50"/>
        <v>10.75</v>
      </c>
      <c r="J424" s="1">
        <f t="shared" si="51"/>
        <v>0</v>
      </c>
      <c r="K424" s="1">
        <f t="shared" si="52"/>
        <v>10.75</v>
      </c>
      <c r="L424" s="1">
        <f t="shared" si="53"/>
        <v>11182993.875</v>
      </c>
      <c r="M424" s="1">
        <f t="shared" si="54"/>
        <v>-12161505.839062497</v>
      </c>
    </row>
    <row r="425" spans="1:13" x14ac:dyDescent="0.25">
      <c r="A425">
        <f t="shared" si="55"/>
        <v>345</v>
      </c>
      <c r="B425" s="1">
        <f>A425/6.5</f>
        <v>53.07692307692308</v>
      </c>
      <c r="C425">
        <v>0.8</v>
      </c>
      <c r="D425">
        <v>1</v>
      </c>
      <c r="E425" s="1">
        <f t="shared" si="48"/>
        <v>1.0874999999999997</v>
      </c>
      <c r="F425">
        <v>1</v>
      </c>
      <c r="G425">
        <f>1</f>
        <v>1</v>
      </c>
      <c r="H425" s="1">
        <f t="shared" si="49"/>
        <v>0</v>
      </c>
      <c r="I425" s="1">
        <f t="shared" si="50"/>
        <v>10.75</v>
      </c>
      <c r="J425" s="1">
        <f t="shared" si="51"/>
        <v>0</v>
      </c>
      <c r="K425" s="1">
        <f t="shared" si="52"/>
        <v>10.75</v>
      </c>
      <c r="L425" s="1">
        <f t="shared" si="53"/>
        <v>10322763.57692308</v>
      </c>
      <c r="M425" s="1">
        <f t="shared" si="54"/>
        <v>-11226005.389903843</v>
      </c>
    </row>
    <row r="426" spans="1:13" x14ac:dyDescent="0.25">
      <c r="A426">
        <f t="shared" si="55"/>
        <v>345</v>
      </c>
      <c r="B426" s="1">
        <f>A426/7</f>
        <v>49.285714285714285</v>
      </c>
      <c r="C426">
        <v>0.8</v>
      </c>
      <c r="D426">
        <v>1</v>
      </c>
      <c r="E426" s="1">
        <f t="shared" si="48"/>
        <v>1.0874999999999997</v>
      </c>
      <c r="F426">
        <v>1</v>
      </c>
      <c r="G426">
        <f>1</f>
        <v>1</v>
      </c>
      <c r="H426" s="1">
        <f t="shared" si="49"/>
        <v>0</v>
      </c>
      <c r="I426" s="1">
        <f t="shared" si="50"/>
        <v>10.75</v>
      </c>
      <c r="J426" s="1">
        <f t="shared" si="51"/>
        <v>0</v>
      </c>
      <c r="K426" s="1">
        <f t="shared" si="52"/>
        <v>10.75</v>
      </c>
      <c r="L426" s="1">
        <f t="shared" si="53"/>
        <v>9585423.3214285728</v>
      </c>
      <c r="M426" s="1">
        <f t="shared" si="54"/>
        <v>-10424147.862053569</v>
      </c>
    </row>
    <row r="427" spans="1:13" x14ac:dyDescent="0.25">
      <c r="A427">
        <f t="shared" si="55"/>
        <v>345</v>
      </c>
      <c r="B427" s="1">
        <f>A427/7.5</f>
        <v>46</v>
      </c>
      <c r="C427">
        <v>0.8</v>
      </c>
      <c r="D427">
        <v>1</v>
      </c>
      <c r="E427" s="1">
        <f t="shared" si="48"/>
        <v>1.0874999999999997</v>
      </c>
      <c r="F427">
        <v>1</v>
      </c>
      <c r="G427">
        <f>1</f>
        <v>1</v>
      </c>
      <c r="H427" s="1">
        <f t="shared" si="49"/>
        <v>0</v>
      </c>
      <c r="I427" s="1">
        <f t="shared" si="50"/>
        <v>10.75</v>
      </c>
      <c r="J427" s="1">
        <f t="shared" si="51"/>
        <v>0</v>
      </c>
      <c r="K427" s="1">
        <f t="shared" si="52"/>
        <v>10.75</v>
      </c>
      <c r="L427" s="1">
        <f t="shared" si="53"/>
        <v>8946395.0999999996</v>
      </c>
      <c r="M427" s="1">
        <f t="shared" si="54"/>
        <v>-9729204.6712499987</v>
      </c>
    </row>
    <row r="428" spans="1:13" x14ac:dyDescent="0.25">
      <c r="A428">
        <f t="shared" si="55"/>
        <v>345</v>
      </c>
      <c r="B428" s="1">
        <f>A428/5</f>
        <v>69</v>
      </c>
      <c r="C428">
        <v>0.9</v>
      </c>
      <c r="D428">
        <v>1</v>
      </c>
      <c r="E428" s="1">
        <f t="shared" si="48"/>
        <v>1.0311111111111111</v>
      </c>
      <c r="F428">
        <v>1</v>
      </c>
      <c r="G428">
        <f>1</f>
        <v>1</v>
      </c>
      <c r="H428" s="1">
        <f t="shared" si="49"/>
        <v>0</v>
      </c>
      <c r="I428" s="1">
        <f t="shared" si="50"/>
        <v>10.75</v>
      </c>
      <c r="J428" s="1">
        <f t="shared" si="51"/>
        <v>0</v>
      </c>
      <c r="K428" s="1">
        <f t="shared" si="52"/>
        <v>10.75</v>
      </c>
      <c r="L428" s="1">
        <f t="shared" si="53"/>
        <v>15097041.731250001</v>
      </c>
      <c r="M428" s="1">
        <f t="shared" si="54"/>
        <v>-15566727.474000003</v>
      </c>
    </row>
    <row r="429" spans="1:13" x14ac:dyDescent="0.25">
      <c r="A429">
        <f t="shared" si="55"/>
        <v>345</v>
      </c>
      <c r="B429" s="1">
        <f>A429/5.5</f>
        <v>62.727272727272727</v>
      </c>
      <c r="C429">
        <v>0.9</v>
      </c>
      <c r="D429">
        <v>1</v>
      </c>
      <c r="E429" s="1">
        <f t="shared" si="48"/>
        <v>1.0311111111111111</v>
      </c>
      <c r="F429">
        <v>1</v>
      </c>
      <c r="G429">
        <f>1</f>
        <v>1</v>
      </c>
      <c r="H429" s="1">
        <f t="shared" si="49"/>
        <v>0</v>
      </c>
      <c r="I429" s="1">
        <f t="shared" si="50"/>
        <v>10.75</v>
      </c>
      <c r="J429" s="1">
        <f t="shared" si="51"/>
        <v>0</v>
      </c>
      <c r="K429" s="1">
        <f t="shared" si="52"/>
        <v>10.75</v>
      </c>
      <c r="L429" s="1">
        <f t="shared" si="53"/>
        <v>13724583.392045455</v>
      </c>
      <c r="M429" s="1">
        <f t="shared" si="54"/>
        <v>-14151570.430909092</v>
      </c>
    </row>
    <row r="430" spans="1:13" x14ac:dyDescent="0.25">
      <c r="A430">
        <f t="shared" si="55"/>
        <v>345</v>
      </c>
      <c r="B430" s="1">
        <f>A430/6</f>
        <v>57.5</v>
      </c>
      <c r="C430">
        <v>0.9</v>
      </c>
      <c r="D430">
        <v>1</v>
      </c>
      <c r="E430" s="1">
        <f t="shared" si="48"/>
        <v>1.0311111111111111</v>
      </c>
      <c r="F430">
        <v>1</v>
      </c>
      <c r="G430">
        <f>1</f>
        <v>1</v>
      </c>
      <c r="H430" s="1">
        <f t="shared" si="49"/>
        <v>0</v>
      </c>
      <c r="I430" s="1">
        <f t="shared" si="50"/>
        <v>10.75</v>
      </c>
      <c r="J430" s="1">
        <f t="shared" si="51"/>
        <v>0</v>
      </c>
      <c r="K430" s="1">
        <f t="shared" si="52"/>
        <v>10.75</v>
      </c>
      <c r="L430" s="1">
        <f t="shared" si="53"/>
        <v>12580868.109375</v>
      </c>
      <c r="M430" s="1">
        <f t="shared" si="54"/>
        <v>-12972272.895000003</v>
      </c>
    </row>
    <row r="431" spans="1:13" x14ac:dyDescent="0.25">
      <c r="A431">
        <f t="shared" si="55"/>
        <v>345</v>
      </c>
      <c r="B431" s="1">
        <f>A431/6.5</f>
        <v>53.07692307692308</v>
      </c>
      <c r="C431">
        <v>0.9</v>
      </c>
      <c r="D431">
        <v>1</v>
      </c>
      <c r="E431" s="1">
        <f t="shared" si="48"/>
        <v>1.0311111111111111</v>
      </c>
      <c r="F431">
        <v>1</v>
      </c>
      <c r="G431">
        <f>1</f>
        <v>1</v>
      </c>
      <c r="H431" s="1">
        <f t="shared" si="49"/>
        <v>0</v>
      </c>
      <c r="I431" s="1">
        <f t="shared" si="50"/>
        <v>10.75</v>
      </c>
      <c r="J431" s="1">
        <f t="shared" si="51"/>
        <v>0</v>
      </c>
      <c r="K431" s="1">
        <f t="shared" si="52"/>
        <v>10.75</v>
      </c>
      <c r="L431" s="1">
        <f t="shared" si="53"/>
        <v>11613109.024038464</v>
      </c>
      <c r="M431" s="1">
        <f t="shared" si="54"/>
        <v>-11974405.749230772</v>
      </c>
    </row>
    <row r="432" spans="1:13" x14ac:dyDescent="0.25">
      <c r="A432">
        <f t="shared" si="55"/>
        <v>345</v>
      </c>
      <c r="B432" s="1">
        <f>A432/7</f>
        <v>49.285714285714285</v>
      </c>
      <c r="C432">
        <v>0.9</v>
      </c>
      <c r="D432">
        <v>1</v>
      </c>
      <c r="E432" s="1">
        <f t="shared" si="48"/>
        <v>1.0311111111111111</v>
      </c>
      <c r="F432">
        <v>1</v>
      </c>
      <c r="G432">
        <f>1</f>
        <v>1</v>
      </c>
      <c r="H432" s="1">
        <f t="shared" si="49"/>
        <v>0</v>
      </c>
      <c r="I432" s="1">
        <f t="shared" si="50"/>
        <v>10.75</v>
      </c>
      <c r="J432" s="1">
        <f t="shared" si="51"/>
        <v>0</v>
      </c>
      <c r="K432" s="1">
        <f t="shared" si="52"/>
        <v>10.75</v>
      </c>
      <c r="L432" s="1">
        <f t="shared" si="53"/>
        <v>10783601.236607144</v>
      </c>
      <c r="M432" s="1">
        <f t="shared" si="54"/>
        <v>-11119091.052857144</v>
      </c>
    </row>
    <row r="433" spans="1:13" x14ac:dyDescent="0.25">
      <c r="A433">
        <f t="shared" si="55"/>
        <v>345</v>
      </c>
      <c r="B433" s="1">
        <f>A433/7.5</f>
        <v>46</v>
      </c>
      <c r="C433">
        <v>0.9</v>
      </c>
      <c r="D433">
        <v>1</v>
      </c>
      <c r="E433" s="1">
        <f t="shared" si="48"/>
        <v>1.0311111111111111</v>
      </c>
      <c r="F433">
        <v>1</v>
      </c>
      <c r="G433">
        <f>1</f>
        <v>1</v>
      </c>
      <c r="H433" s="1">
        <f t="shared" si="49"/>
        <v>0</v>
      </c>
      <c r="I433" s="1">
        <f t="shared" si="50"/>
        <v>10.75</v>
      </c>
      <c r="J433" s="1">
        <f t="shared" si="51"/>
        <v>0</v>
      </c>
      <c r="K433" s="1">
        <f t="shared" si="52"/>
        <v>10.75</v>
      </c>
      <c r="L433" s="1">
        <f t="shared" si="53"/>
        <v>10064694.487500001</v>
      </c>
      <c r="M433" s="1">
        <f t="shared" si="54"/>
        <v>-10377818.316000002</v>
      </c>
    </row>
    <row r="434" spans="1:13" x14ac:dyDescent="0.25">
      <c r="A434">
        <f t="shared" si="55"/>
        <v>360</v>
      </c>
      <c r="B434" s="1">
        <f>A434/5</f>
        <v>72</v>
      </c>
      <c r="C434">
        <v>0.6</v>
      </c>
      <c r="D434">
        <v>1</v>
      </c>
      <c r="E434" s="1">
        <f t="shared" si="48"/>
        <v>1.2566666666666666</v>
      </c>
      <c r="F434">
        <v>1</v>
      </c>
      <c r="G434">
        <f>1</f>
        <v>1</v>
      </c>
      <c r="H434" s="1">
        <f t="shared" si="49"/>
        <v>0</v>
      </c>
      <c r="I434" s="1">
        <f t="shared" si="50"/>
        <v>0</v>
      </c>
      <c r="J434" s="1">
        <f t="shared" si="51"/>
        <v>10.732786740683522</v>
      </c>
      <c r="K434" s="1">
        <f t="shared" si="52"/>
        <v>10.732786740683522</v>
      </c>
      <c r="L434" s="1">
        <f t="shared" si="53"/>
        <v>11417074.878351934</v>
      </c>
      <c r="M434" s="1">
        <f t="shared" si="54"/>
        <v>-14347457.430462264</v>
      </c>
    </row>
    <row r="435" spans="1:13" x14ac:dyDescent="0.25">
      <c r="A435">
        <f t="shared" si="55"/>
        <v>360</v>
      </c>
      <c r="B435" s="1">
        <f>A435/5.5</f>
        <v>65.454545454545453</v>
      </c>
      <c r="C435">
        <v>0.6</v>
      </c>
      <c r="D435">
        <v>1</v>
      </c>
      <c r="E435" s="1">
        <f t="shared" si="48"/>
        <v>1.2566666666666666</v>
      </c>
      <c r="F435">
        <v>1</v>
      </c>
      <c r="G435">
        <f>1</f>
        <v>1</v>
      </c>
      <c r="H435" s="1">
        <f t="shared" si="49"/>
        <v>0</v>
      </c>
      <c r="I435" s="1">
        <f t="shared" si="50"/>
        <v>0</v>
      </c>
      <c r="J435" s="1">
        <f t="shared" si="51"/>
        <v>10.732786740683522</v>
      </c>
      <c r="K435" s="1">
        <f t="shared" si="52"/>
        <v>10.732786740683522</v>
      </c>
      <c r="L435" s="1">
        <f t="shared" si="53"/>
        <v>10379158.980319938</v>
      </c>
      <c r="M435" s="1">
        <f t="shared" si="54"/>
        <v>-13043143.118602058</v>
      </c>
    </row>
    <row r="436" spans="1:13" x14ac:dyDescent="0.25">
      <c r="A436">
        <f t="shared" si="55"/>
        <v>360</v>
      </c>
      <c r="B436" s="1">
        <f>A436/6</f>
        <v>60</v>
      </c>
      <c r="C436">
        <v>0.6</v>
      </c>
      <c r="D436">
        <v>1</v>
      </c>
      <c r="E436" s="1">
        <f t="shared" si="48"/>
        <v>1.2566666666666666</v>
      </c>
      <c r="F436">
        <v>1</v>
      </c>
      <c r="G436">
        <f>1</f>
        <v>1</v>
      </c>
      <c r="H436" s="1">
        <f t="shared" si="49"/>
        <v>0</v>
      </c>
      <c r="I436" s="1">
        <f t="shared" si="50"/>
        <v>0</v>
      </c>
      <c r="J436" s="1">
        <f t="shared" si="51"/>
        <v>10.732786740683522</v>
      </c>
      <c r="K436" s="1">
        <f t="shared" si="52"/>
        <v>10.732786740683522</v>
      </c>
      <c r="L436" s="1">
        <f t="shared" si="53"/>
        <v>9514229.0652932767</v>
      </c>
      <c r="M436" s="1">
        <f t="shared" si="54"/>
        <v>-11956214.52538522</v>
      </c>
    </row>
    <row r="437" spans="1:13" x14ac:dyDescent="0.25">
      <c r="A437">
        <f t="shared" si="55"/>
        <v>360</v>
      </c>
      <c r="B437" s="1">
        <f>A437/6.5</f>
        <v>55.384615384615387</v>
      </c>
      <c r="C437">
        <v>0.6</v>
      </c>
      <c r="D437">
        <v>1</v>
      </c>
      <c r="E437" s="1">
        <f t="shared" si="48"/>
        <v>1.2566666666666666</v>
      </c>
      <c r="F437">
        <v>1</v>
      </c>
      <c r="G437">
        <f>1</f>
        <v>1</v>
      </c>
      <c r="H437" s="1">
        <f t="shared" si="49"/>
        <v>0</v>
      </c>
      <c r="I437" s="1">
        <f t="shared" si="50"/>
        <v>0</v>
      </c>
      <c r="J437" s="1">
        <f t="shared" si="51"/>
        <v>10.732786740683522</v>
      </c>
      <c r="K437" s="1">
        <f t="shared" si="52"/>
        <v>10.732786740683522</v>
      </c>
      <c r="L437" s="1">
        <f t="shared" si="53"/>
        <v>8782365.2910399493</v>
      </c>
      <c r="M437" s="1">
        <f t="shared" si="54"/>
        <v>-11036505.715740204</v>
      </c>
    </row>
    <row r="438" spans="1:13" x14ac:dyDescent="0.25">
      <c r="A438">
        <f t="shared" si="55"/>
        <v>360</v>
      </c>
      <c r="B438" s="1">
        <f>A438/7</f>
        <v>51.428571428571431</v>
      </c>
      <c r="C438">
        <v>0.6</v>
      </c>
      <c r="D438">
        <v>1</v>
      </c>
      <c r="E438" s="1">
        <f t="shared" si="48"/>
        <v>1.2566666666666666</v>
      </c>
      <c r="F438">
        <v>1</v>
      </c>
      <c r="G438">
        <f>1</f>
        <v>1</v>
      </c>
      <c r="H438" s="1">
        <f t="shared" si="49"/>
        <v>0</v>
      </c>
      <c r="I438" s="1">
        <f t="shared" si="50"/>
        <v>0</v>
      </c>
      <c r="J438" s="1">
        <f t="shared" si="51"/>
        <v>10.732786740683522</v>
      </c>
      <c r="K438" s="1">
        <f t="shared" si="52"/>
        <v>10.732786740683522</v>
      </c>
      <c r="L438" s="1">
        <f t="shared" si="53"/>
        <v>8155053.4845370948</v>
      </c>
      <c r="M438" s="1">
        <f t="shared" si="54"/>
        <v>-10248183.878901618</v>
      </c>
    </row>
    <row r="439" spans="1:13" x14ac:dyDescent="0.25">
      <c r="A439">
        <f t="shared" si="55"/>
        <v>360</v>
      </c>
      <c r="B439" s="1">
        <f>A439/7.5</f>
        <v>48</v>
      </c>
      <c r="C439">
        <v>0.6</v>
      </c>
      <c r="D439">
        <v>1</v>
      </c>
      <c r="E439" s="1">
        <f t="shared" si="48"/>
        <v>1.2566666666666666</v>
      </c>
      <c r="F439">
        <v>1</v>
      </c>
      <c r="G439">
        <f>1</f>
        <v>1</v>
      </c>
      <c r="H439" s="1">
        <f t="shared" si="49"/>
        <v>0</v>
      </c>
      <c r="I439" s="1">
        <f t="shared" si="50"/>
        <v>0</v>
      </c>
      <c r="J439" s="1">
        <f t="shared" si="51"/>
        <v>10.732786740683522</v>
      </c>
      <c r="K439" s="1">
        <f t="shared" si="52"/>
        <v>10.732786740683522</v>
      </c>
      <c r="L439" s="1">
        <f t="shared" si="53"/>
        <v>7611383.2522346219</v>
      </c>
      <c r="M439" s="1">
        <f t="shared" si="54"/>
        <v>-9564971.6203081757</v>
      </c>
    </row>
    <row r="440" spans="1:13" x14ac:dyDescent="0.25">
      <c r="A440">
        <f t="shared" si="55"/>
        <v>360</v>
      </c>
      <c r="B440" s="1">
        <f>A440/5</f>
        <v>72</v>
      </c>
      <c r="C440">
        <v>0.7</v>
      </c>
      <c r="D440">
        <v>1</v>
      </c>
      <c r="E440" s="1">
        <f t="shared" si="48"/>
        <v>1.1599999999999999</v>
      </c>
      <c r="F440">
        <v>1</v>
      </c>
      <c r="G440">
        <f>1</f>
        <v>1</v>
      </c>
      <c r="H440" s="1">
        <f t="shared" si="49"/>
        <v>0</v>
      </c>
      <c r="I440" s="1">
        <f t="shared" si="50"/>
        <v>0</v>
      </c>
      <c r="J440" s="1">
        <f t="shared" si="51"/>
        <v>10.732786740683522</v>
      </c>
      <c r="K440" s="1">
        <f t="shared" si="52"/>
        <v>10.732786740683522</v>
      </c>
      <c r="L440" s="1">
        <f t="shared" si="53"/>
        <v>13319920.69141059</v>
      </c>
      <c r="M440" s="1">
        <f t="shared" si="54"/>
        <v>-15451108.002036281</v>
      </c>
    </row>
    <row r="441" spans="1:13" x14ac:dyDescent="0.25">
      <c r="A441">
        <f t="shared" si="55"/>
        <v>360</v>
      </c>
      <c r="B441" s="1">
        <f>A441/5.5</f>
        <v>65.454545454545453</v>
      </c>
      <c r="C441">
        <v>0.7</v>
      </c>
      <c r="D441">
        <v>1</v>
      </c>
      <c r="E441" s="1">
        <f t="shared" si="48"/>
        <v>1.1599999999999999</v>
      </c>
      <c r="F441">
        <v>1</v>
      </c>
      <c r="G441">
        <f>1</f>
        <v>1</v>
      </c>
      <c r="H441" s="1">
        <f t="shared" si="49"/>
        <v>0</v>
      </c>
      <c r="I441" s="1">
        <f t="shared" si="50"/>
        <v>0</v>
      </c>
      <c r="J441" s="1">
        <f t="shared" si="51"/>
        <v>10.732786740683522</v>
      </c>
      <c r="K441" s="1">
        <f t="shared" si="52"/>
        <v>10.732786740683522</v>
      </c>
      <c r="L441" s="1">
        <f t="shared" si="53"/>
        <v>12109018.810373262</v>
      </c>
      <c r="M441" s="1">
        <f t="shared" si="54"/>
        <v>-14046461.820032982</v>
      </c>
    </row>
    <row r="442" spans="1:13" x14ac:dyDescent="0.25">
      <c r="A442">
        <f t="shared" si="55"/>
        <v>360</v>
      </c>
      <c r="B442" s="1">
        <f>A442/6</f>
        <v>60</v>
      </c>
      <c r="C442">
        <v>0.7</v>
      </c>
      <c r="D442">
        <v>1</v>
      </c>
      <c r="E442" s="1">
        <f t="shared" si="48"/>
        <v>1.1599999999999999</v>
      </c>
      <c r="F442">
        <v>1</v>
      </c>
      <c r="G442">
        <f>1</f>
        <v>1</v>
      </c>
      <c r="H442" s="1">
        <f t="shared" si="49"/>
        <v>0</v>
      </c>
      <c r="I442" s="1">
        <f t="shared" si="50"/>
        <v>0</v>
      </c>
      <c r="J442" s="1">
        <f t="shared" si="51"/>
        <v>10.732786740683522</v>
      </c>
      <c r="K442" s="1">
        <f t="shared" si="52"/>
        <v>10.732786740683522</v>
      </c>
      <c r="L442" s="1">
        <f t="shared" si="53"/>
        <v>11099933.909508822</v>
      </c>
      <c r="M442" s="1">
        <f t="shared" si="54"/>
        <v>-12875923.335030235</v>
      </c>
    </row>
    <row r="443" spans="1:13" x14ac:dyDescent="0.25">
      <c r="A443">
        <f t="shared" si="55"/>
        <v>360</v>
      </c>
      <c r="B443" s="1">
        <f>A443/6.5</f>
        <v>55.384615384615387</v>
      </c>
      <c r="C443">
        <v>0.7</v>
      </c>
      <c r="D443">
        <v>1</v>
      </c>
      <c r="E443" s="1">
        <f t="shared" si="48"/>
        <v>1.1599999999999999</v>
      </c>
      <c r="F443">
        <v>1</v>
      </c>
      <c r="G443">
        <f>1</f>
        <v>1</v>
      </c>
      <c r="H443" s="1">
        <f t="shared" si="49"/>
        <v>0</v>
      </c>
      <c r="I443" s="1">
        <f t="shared" si="50"/>
        <v>0</v>
      </c>
      <c r="J443" s="1">
        <f t="shared" si="51"/>
        <v>10.732786740683522</v>
      </c>
      <c r="K443" s="1">
        <f t="shared" si="52"/>
        <v>10.732786740683522</v>
      </c>
      <c r="L443" s="1">
        <f t="shared" si="53"/>
        <v>10246092.839546606</v>
      </c>
      <c r="M443" s="1">
        <f t="shared" si="54"/>
        <v>-11885467.693874063</v>
      </c>
    </row>
    <row r="444" spans="1:13" x14ac:dyDescent="0.25">
      <c r="A444">
        <f t="shared" si="55"/>
        <v>360</v>
      </c>
      <c r="B444" s="1">
        <f>A444/7</f>
        <v>51.428571428571431</v>
      </c>
      <c r="C444">
        <v>0.7</v>
      </c>
      <c r="D444">
        <v>1</v>
      </c>
      <c r="E444" s="1">
        <f t="shared" si="48"/>
        <v>1.1599999999999999</v>
      </c>
      <c r="F444">
        <v>1</v>
      </c>
      <c r="G444">
        <f>1</f>
        <v>1</v>
      </c>
      <c r="H444" s="1">
        <f t="shared" si="49"/>
        <v>0</v>
      </c>
      <c r="I444" s="1">
        <f t="shared" si="50"/>
        <v>0</v>
      </c>
      <c r="J444" s="1">
        <f t="shared" si="51"/>
        <v>10.732786740683522</v>
      </c>
      <c r="K444" s="1">
        <f t="shared" si="52"/>
        <v>10.732786740683522</v>
      </c>
      <c r="L444" s="1">
        <f t="shared" si="53"/>
        <v>9514229.0652932767</v>
      </c>
      <c r="M444" s="1">
        <f t="shared" si="54"/>
        <v>-11036505.715740202</v>
      </c>
    </row>
    <row r="445" spans="1:13" x14ac:dyDescent="0.25">
      <c r="A445">
        <f t="shared" si="55"/>
        <v>360</v>
      </c>
      <c r="B445" s="1">
        <f>A445/7.5</f>
        <v>48</v>
      </c>
      <c r="C445">
        <v>0.7</v>
      </c>
      <c r="D445">
        <v>1</v>
      </c>
      <c r="E445" s="1">
        <f t="shared" si="48"/>
        <v>1.1599999999999999</v>
      </c>
      <c r="F445">
        <v>1</v>
      </c>
      <c r="G445">
        <f>1</f>
        <v>1</v>
      </c>
      <c r="H445" s="1">
        <f t="shared" si="49"/>
        <v>0</v>
      </c>
      <c r="I445" s="1">
        <f t="shared" si="50"/>
        <v>0</v>
      </c>
      <c r="J445" s="1">
        <f t="shared" si="51"/>
        <v>10.732786740683522</v>
      </c>
      <c r="K445" s="1">
        <f t="shared" si="52"/>
        <v>10.732786740683522</v>
      </c>
      <c r="L445" s="1">
        <f t="shared" si="53"/>
        <v>8879947.1276070587</v>
      </c>
      <c r="M445" s="1">
        <f t="shared" si="54"/>
        <v>-10300738.668024188</v>
      </c>
    </row>
    <row r="446" spans="1:13" x14ac:dyDescent="0.25">
      <c r="A446">
        <f t="shared" si="55"/>
        <v>360</v>
      </c>
      <c r="B446" s="1">
        <f>A446/5</f>
        <v>72</v>
      </c>
      <c r="C446">
        <v>0.8</v>
      </c>
      <c r="D446">
        <v>1</v>
      </c>
      <c r="E446" s="1">
        <f t="shared" si="48"/>
        <v>1.0874999999999997</v>
      </c>
      <c r="F446">
        <v>1</v>
      </c>
      <c r="G446">
        <f>1</f>
        <v>1</v>
      </c>
      <c r="H446" s="1">
        <f t="shared" si="49"/>
        <v>0</v>
      </c>
      <c r="I446" s="1">
        <f t="shared" si="50"/>
        <v>0</v>
      </c>
      <c r="J446" s="1">
        <f t="shared" si="51"/>
        <v>10.732786740683522</v>
      </c>
      <c r="K446" s="1">
        <f t="shared" si="52"/>
        <v>10.732786740683522</v>
      </c>
      <c r="L446" s="1">
        <f t="shared" si="53"/>
        <v>15222766.504469246</v>
      </c>
      <c r="M446" s="1">
        <f t="shared" si="54"/>
        <v>-16554758.5736103</v>
      </c>
    </row>
    <row r="447" spans="1:13" x14ac:dyDescent="0.25">
      <c r="A447">
        <f t="shared" si="55"/>
        <v>360</v>
      </c>
      <c r="B447" s="1">
        <f>A447/5.5</f>
        <v>65.454545454545453</v>
      </c>
      <c r="C447">
        <v>0.8</v>
      </c>
      <c r="D447">
        <v>1</v>
      </c>
      <c r="E447" s="1">
        <f t="shared" si="48"/>
        <v>1.0874999999999997</v>
      </c>
      <c r="F447">
        <v>1</v>
      </c>
      <c r="G447">
        <f>1</f>
        <v>1</v>
      </c>
      <c r="H447" s="1">
        <f t="shared" si="49"/>
        <v>0</v>
      </c>
      <c r="I447" s="1">
        <f t="shared" si="50"/>
        <v>0</v>
      </c>
      <c r="J447" s="1">
        <f t="shared" si="51"/>
        <v>10.732786740683522</v>
      </c>
      <c r="K447" s="1">
        <f t="shared" si="52"/>
        <v>10.732786740683522</v>
      </c>
      <c r="L447" s="1">
        <f t="shared" si="53"/>
        <v>13838878.640426585</v>
      </c>
      <c r="M447" s="1">
        <f t="shared" si="54"/>
        <v>-15049780.52146391</v>
      </c>
    </row>
    <row r="448" spans="1:13" x14ac:dyDescent="0.25">
      <c r="A448">
        <f t="shared" si="55"/>
        <v>360</v>
      </c>
      <c r="B448" s="1">
        <f>A448/6</f>
        <v>60</v>
      </c>
      <c r="C448">
        <v>0.8</v>
      </c>
      <c r="D448">
        <v>1</v>
      </c>
      <c r="E448" s="1">
        <f t="shared" si="48"/>
        <v>1.0874999999999997</v>
      </c>
      <c r="F448">
        <v>1</v>
      </c>
      <c r="G448">
        <f>1</f>
        <v>1</v>
      </c>
      <c r="H448" s="1">
        <f t="shared" si="49"/>
        <v>0</v>
      </c>
      <c r="I448" s="1">
        <f t="shared" si="50"/>
        <v>0</v>
      </c>
      <c r="J448" s="1">
        <f t="shared" si="51"/>
        <v>10.732786740683522</v>
      </c>
      <c r="K448" s="1">
        <f t="shared" si="52"/>
        <v>10.732786740683522</v>
      </c>
      <c r="L448" s="1">
        <f t="shared" si="53"/>
        <v>12685638.75372437</v>
      </c>
      <c r="M448" s="1">
        <f t="shared" si="54"/>
        <v>-13795632.144675249</v>
      </c>
    </row>
    <row r="449" spans="1:13" x14ac:dyDescent="0.25">
      <c r="A449">
        <f t="shared" si="55"/>
        <v>360</v>
      </c>
      <c r="B449" s="1">
        <f>A449/6.5</f>
        <v>55.384615384615387</v>
      </c>
      <c r="C449">
        <v>0.8</v>
      </c>
      <c r="D449">
        <v>1</v>
      </c>
      <c r="E449" s="1">
        <f t="shared" si="48"/>
        <v>1.0874999999999997</v>
      </c>
      <c r="F449">
        <v>1</v>
      </c>
      <c r="G449">
        <f>1</f>
        <v>1</v>
      </c>
      <c r="H449" s="1">
        <f t="shared" si="49"/>
        <v>0</v>
      </c>
      <c r="I449" s="1">
        <f t="shared" si="50"/>
        <v>0</v>
      </c>
      <c r="J449" s="1">
        <f t="shared" si="51"/>
        <v>10.732786740683522</v>
      </c>
      <c r="K449" s="1">
        <f t="shared" si="52"/>
        <v>10.732786740683522</v>
      </c>
      <c r="L449" s="1">
        <f t="shared" si="53"/>
        <v>11709820.388053266</v>
      </c>
      <c r="M449" s="1">
        <f t="shared" si="54"/>
        <v>-12734429.672007926</v>
      </c>
    </row>
    <row r="450" spans="1:13" x14ac:dyDescent="0.25">
      <c r="A450">
        <f t="shared" si="55"/>
        <v>360</v>
      </c>
      <c r="B450" s="1">
        <f>A450/7</f>
        <v>51.428571428571431</v>
      </c>
      <c r="C450">
        <v>0.8</v>
      </c>
      <c r="D450">
        <v>1</v>
      </c>
      <c r="E450" s="1">
        <f t="shared" si="48"/>
        <v>1.0874999999999997</v>
      </c>
      <c r="F450">
        <v>1</v>
      </c>
      <c r="G450">
        <f>1</f>
        <v>1</v>
      </c>
      <c r="H450" s="1">
        <f t="shared" si="49"/>
        <v>0</v>
      </c>
      <c r="I450" s="1">
        <f t="shared" si="50"/>
        <v>0</v>
      </c>
      <c r="J450" s="1">
        <f t="shared" si="51"/>
        <v>10.732786740683522</v>
      </c>
      <c r="K450" s="1">
        <f t="shared" si="52"/>
        <v>10.732786740683522</v>
      </c>
      <c r="L450" s="1">
        <f t="shared" si="53"/>
        <v>10873404.646049462</v>
      </c>
      <c r="M450" s="1">
        <f t="shared" si="54"/>
        <v>-11824827.552578786</v>
      </c>
    </row>
    <row r="451" spans="1:13" x14ac:dyDescent="0.25">
      <c r="A451">
        <f t="shared" si="55"/>
        <v>360</v>
      </c>
      <c r="B451" s="1">
        <f>A451/7.5</f>
        <v>48</v>
      </c>
      <c r="C451">
        <v>0.8</v>
      </c>
      <c r="D451">
        <v>1</v>
      </c>
      <c r="E451" s="1">
        <f t="shared" ref="E451:E505" si="56">0.58*(C451+0.7)/C451</f>
        <v>1.0874999999999997</v>
      </c>
      <c r="F451">
        <v>1</v>
      </c>
      <c r="G451">
        <f>1</f>
        <v>1</v>
      </c>
      <c r="H451" s="1">
        <f t="shared" ref="H451:H505" si="57">IF(AND(A451&gt;=90,A451&lt;300),10.75-POWER((300-A451)/100,1.5),0)</f>
        <v>0</v>
      </c>
      <c r="I451" s="1">
        <f t="shared" ref="I451:I505" si="58">IF(AND(A451&gt;=300,A451&lt;350),10.75,0)</f>
        <v>0</v>
      </c>
      <c r="J451" s="1">
        <f t="shared" ref="J451:J505" si="59">IF(A451&gt;=350,10.75-POWER((A451-350)/150,1.5),0)</f>
        <v>10.732786740683522</v>
      </c>
      <c r="K451" s="1">
        <f t="shared" ref="K451:K505" si="60">SUM(H451:J451)</f>
        <v>10.732786740683522</v>
      </c>
      <c r="L451" s="1">
        <f t="shared" ref="L451:L505" si="61">0.19*D451*F451*G451*K451*A451*A451*B451*C451</f>
        <v>10148511.002979496</v>
      </c>
      <c r="M451" s="1">
        <f t="shared" ref="M451:M505" si="62">-0.19*E451*F451*G451*K451*A451*A451*B451*C451</f>
        <v>-11036505.715740202</v>
      </c>
    </row>
    <row r="452" spans="1:13" x14ac:dyDescent="0.25">
      <c r="A452">
        <f t="shared" si="55"/>
        <v>360</v>
      </c>
      <c r="B452" s="1">
        <f>A452/5</f>
        <v>72</v>
      </c>
      <c r="C452">
        <v>0.9</v>
      </c>
      <c r="D452">
        <v>1</v>
      </c>
      <c r="E452" s="1">
        <f t="shared" si="56"/>
        <v>1.0311111111111111</v>
      </c>
      <c r="F452">
        <v>1</v>
      </c>
      <c r="G452">
        <f>1</f>
        <v>1</v>
      </c>
      <c r="H452" s="1">
        <f t="shared" si="57"/>
        <v>0</v>
      </c>
      <c r="I452" s="1">
        <f t="shared" si="58"/>
        <v>0</v>
      </c>
      <c r="J452" s="1">
        <f t="shared" si="59"/>
        <v>10.732786740683522</v>
      </c>
      <c r="K452" s="1">
        <f t="shared" si="60"/>
        <v>10.732786740683522</v>
      </c>
      <c r="L452" s="1">
        <f t="shared" si="61"/>
        <v>17125612.317527901</v>
      </c>
      <c r="M452" s="1">
        <f t="shared" si="62"/>
        <v>-17658409.145184331</v>
      </c>
    </row>
    <row r="453" spans="1:13" x14ac:dyDescent="0.25">
      <c r="A453">
        <f t="shared" si="55"/>
        <v>360</v>
      </c>
      <c r="B453" s="1">
        <f>A453/5.5</f>
        <v>65.454545454545453</v>
      </c>
      <c r="C453">
        <v>0.9</v>
      </c>
      <c r="D453">
        <v>1</v>
      </c>
      <c r="E453" s="1">
        <f t="shared" si="56"/>
        <v>1.0311111111111111</v>
      </c>
      <c r="F453">
        <v>1</v>
      </c>
      <c r="G453">
        <f>1</f>
        <v>1</v>
      </c>
      <c r="H453" s="1">
        <f t="shared" si="57"/>
        <v>0</v>
      </c>
      <c r="I453" s="1">
        <f t="shared" si="58"/>
        <v>0</v>
      </c>
      <c r="J453" s="1">
        <f t="shared" si="59"/>
        <v>10.732786740683522</v>
      </c>
      <c r="K453" s="1">
        <f t="shared" si="60"/>
        <v>10.732786740683522</v>
      </c>
      <c r="L453" s="1">
        <f t="shared" si="61"/>
        <v>15568738.470479909</v>
      </c>
      <c r="M453" s="1">
        <f t="shared" si="62"/>
        <v>-16053099.222894844</v>
      </c>
    </row>
    <row r="454" spans="1:13" x14ac:dyDescent="0.25">
      <c r="A454">
        <f t="shared" si="55"/>
        <v>360</v>
      </c>
      <c r="B454" s="1">
        <f>A454/6</f>
        <v>60</v>
      </c>
      <c r="C454">
        <v>0.9</v>
      </c>
      <c r="D454">
        <v>1</v>
      </c>
      <c r="E454" s="1">
        <f t="shared" si="56"/>
        <v>1.0311111111111111</v>
      </c>
      <c r="F454">
        <v>1</v>
      </c>
      <c r="G454">
        <f>1</f>
        <v>1</v>
      </c>
      <c r="H454" s="1">
        <f t="shared" si="57"/>
        <v>0</v>
      </c>
      <c r="I454" s="1">
        <f t="shared" si="58"/>
        <v>0</v>
      </c>
      <c r="J454" s="1">
        <f t="shared" si="59"/>
        <v>10.732786740683522</v>
      </c>
      <c r="K454" s="1">
        <f t="shared" si="60"/>
        <v>10.732786740683522</v>
      </c>
      <c r="L454" s="1">
        <f t="shared" si="61"/>
        <v>14271343.597939916</v>
      </c>
      <c r="M454" s="1">
        <f t="shared" si="62"/>
        <v>-14715340.954320274</v>
      </c>
    </row>
    <row r="455" spans="1:13" x14ac:dyDescent="0.25">
      <c r="A455">
        <f t="shared" si="55"/>
        <v>360</v>
      </c>
      <c r="B455" s="1">
        <f>A455/6.5</f>
        <v>55.384615384615387</v>
      </c>
      <c r="C455">
        <v>0.9</v>
      </c>
      <c r="D455">
        <v>1</v>
      </c>
      <c r="E455" s="1">
        <f t="shared" si="56"/>
        <v>1.0311111111111111</v>
      </c>
      <c r="F455">
        <v>1</v>
      </c>
      <c r="G455">
        <f>1</f>
        <v>1</v>
      </c>
      <c r="H455" s="1">
        <f t="shared" si="57"/>
        <v>0</v>
      </c>
      <c r="I455" s="1">
        <f t="shared" si="58"/>
        <v>0</v>
      </c>
      <c r="J455" s="1">
        <f t="shared" si="59"/>
        <v>10.732786740683522</v>
      </c>
      <c r="K455" s="1">
        <f t="shared" si="60"/>
        <v>10.732786740683522</v>
      </c>
      <c r="L455" s="1">
        <f t="shared" si="61"/>
        <v>13173547.936559923</v>
      </c>
      <c r="M455" s="1">
        <f t="shared" si="62"/>
        <v>-13583391.650141791</v>
      </c>
    </row>
    <row r="456" spans="1:13" x14ac:dyDescent="0.25">
      <c r="A456">
        <f t="shared" si="55"/>
        <v>360</v>
      </c>
      <c r="B456" s="1">
        <f>A456/7</f>
        <v>51.428571428571431</v>
      </c>
      <c r="C456">
        <v>0.9</v>
      </c>
      <c r="D456">
        <v>1</v>
      </c>
      <c r="E456" s="1">
        <f t="shared" si="56"/>
        <v>1.0311111111111111</v>
      </c>
      <c r="F456">
        <v>1</v>
      </c>
      <c r="G456">
        <f>1</f>
        <v>1</v>
      </c>
      <c r="H456" s="1">
        <f t="shared" si="57"/>
        <v>0</v>
      </c>
      <c r="I456" s="1">
        <f t="shared" si="58"/>
        <v>0</v>
      </c>
      <c r="J456" s="1">
        <f t="shared" si="59"/>
        <v>10.732786740683522</v>
      </c>
      <c r="K456" s="1">
        <f t="shared" si="60"/>
        <v>10.732786740683522</v>
      </c>
      <c r="L456" s="1">
        <f t="shared" si="61"/>
        <v>12232580.226805644</v>
      </c>
      <c r="M456" s="1">
        <f t="shared" si="62"/>
        <v>-12613149.389417378</v>
      </c>
    </row>
    <row r="457" spans="1:13" x14ac:dyDescent="0.25">
      <c r="A457">
        <f t="shared" si="55"/>
        <v>360</v>
      </c>
      <c r="B457" s="1">
        <f>A457/7.5</f>
        <v>48</v>
      </c>
      <c r="C457">
        <v>0.9</v>
      </c>
      <c r="D457">
        <v>1</v>
      </c>
      <c r="E457" s="1">
        <f t="shared" si="56"/>
        <v>1.0311111111111111</v>
      </c>
      <c r="F457">
        <v>1</v>
      </c>
      <c r="G457">
        <f>1</f>
        <v>1</v>
      </c>
      <c r="H457" s="1">
        <f t="shared" si="57"/>
        <v>0</v>
      </c>
      <c r="I457" s="1">
        <f t="shared" si="58"/>
        <v>0</v>
      </c>
      <c r="J457" s="1">
        <f t="shared" si="59"/>
        <v>10.732786740683522</v>
      </c>
      <c r="K457" s="1">
        <f t="shared" si="60"/>
        <v>10.732786740683522</v>
      </c>
      <c r="L457" s="1">
        <f t="shared" si="61"/>
        <v>11417074.878351934</v>
      </c>
      <c r="M457" s="1">
        <f t="shared" si="62"/>
        <v>-11772272.76345622</v>
      </c>
    </row>
    <row r="458" spans="1:13" x14ac:dyDescent="0.25">
      <c r="A458">
        <f t="shared" si="55"/>
        <v>375</v>
      </c>
      <c r="B458" s="1">
        <f>A458/5</f>
        <v>75</v>
      </c>
      <c r="C458">
        <v>0.6</v>
      </c>
      <c r="D458">
        <v>1</v>
      </c>
      <c r="E458" s="1">
        <f t="shared" si="56"/>
        <v>1.2566666666666666</v>
      </c>
      <c r="F458">
        <v>1</v>
      </c>
      <c r="G458">
        <f>1</f>
        <v>1</v>
      </c>
      <c r="H458" s="1">
        <f t="shared" si="57"/>
        <v>0</v>
      </c>
      <c r="I458" s="1">
        <f t="shared" si="58"/>
        <v>0</v>
      </c>
      <c r="J458" s="1">
        <f t="shared" si="59"/>
        <v>10.681958618256022</v>
      </c>
      <c r="K458" s="1">
        <f t="shared" si="60"/>
        <v>10.681958618256022</v>
      </c>
      <c r="L458" s="1">
        <f t="shared" si="61"/>
        <v>12843386.182418766</v>
      </c>
      <c r="M458" s="1">
        <f t="shared" si="62"/>
        <v>-16139855.302572912</v>
      </c>
    </row>
    <row r="459" spans="1:13" x14ac:dyDescent="0.25">
      <c r="A459">
        <f t="shared" ref="A459:A505" si="63">A435+15</f>
        <v>375</v>
      </c>
      <c r="B459" s="1">
        <f>A459/5.5</f>
        <v>68.181818181818187</v>
      </c>
      <c r="C459">
        <v>0.6</v>
      </c>
      <c r="D459">
        <v>1</v>
      </c>
      <c r="E459" s="1">
        <f t="shared" si="56"/>
        <v>1.2566666666666666</v>
      </c>
      <c r="F459">
        <v>1</v>
      </c>
      <c r="G459">
        <f>1</f>
        <v>1</v>
      </c>
      <c r="H459" s="1">
        <f t="shared" si="57"/>
        <v>0</v>
      </c>
      <c r="I459" s="1">
        <f t="shared" si="58"/>
        <v>0</v>
      </c>
      <c r="J459" s="1">
        <f t="shared" si="59"/>
        <v>10.681958618256022</v>
      </c>
      <c r="K459" s="1">
        <f t="shared" si="60"/>
        <v>10.681958618256022</v>
      </c>
      <c r="L459" s="1">
        <f t="shared" si="61"/>
        <v>11675805.620380698</v>
      </c>
      <c r="M459" s="1">
        <f t="shared" si="62"/>
        <v>-14672595.72961174</v>
      </c>
    </row>
    <row r="460" spans="1:13" x14ac:dyDescent="0.25">
      <c r="A460">
        <f t="shared" si="63"/>
        <v>375</v>
      </c>
      <c r="B460" s="1">
        <f>A460/6</f>
        <v>62.5</v>
      </c>
      <c r="C460">
        <v>0.6</v>
      </c>
      <c r="D460">
        <v>1</v>
      </c>
      <c r="E460" s="1">
        <f t="shared" si="56"/>
        <v>1.2566666666666666</v>
      </c>
      <c r="F460">
        <v>1</v>
      </c>
      <c r="G460">
        <f>1</f>
        <v>1</v>
      </c>
      <c r="H460" s="1">
        <f t="shared" si="57"/>
        <v>0</v>
      </c>
      <c r="I460" s="1">
        <f t="shared" si="58"/>
        <v>0</v>
      </c>
      <c r="J460" s="1">
        <f t="shared" si="59"/>
        <v>10.681958618256022</v>
      </c>
      <c r="K460" s="1">
        <f t="shared" si="60"/>
        <v>10.681958618256022</v>
      </c>
      <c r="L460" s="1">
        <f t="shared" si="61"/>
        <v>10702821.818682307</v>
      </c>
      <c r="M460" s="1">
        <f t="shared" si="62"/>
        <v>-13449879.418810761</v>
      </c>
    </row>
    <row r="461" spans="1:13" x14ac:dyDescent="0.25">
      <c r="A461">
        <f t="shared" si="63"/>
        <v>375</v>
      </c>
      <c r="B461" s="1">
        <f>A461/6.5</f>
        <v>57.692307692307693</v>
      </c>
      <c r="C461">
        <v>0.6</v>
      </c>
      <c r="D461">
        <v>1</v>
      </c>
      <c r="E461" s="1">
        <f t="shared" si="56"/>
        <v>1.2566666666666666</v>
      </c>
      <c r="F461">
        <v>1</v>
      </c>
      <c r="G461">
        <f>1</f>
        <v>1</v>
      </c>
      <c r="H461" s="1">
        <f t="shared" si="57"/>
        <v>0</v>
      </c>
      <c r="I461" s="1">
        <f t="shared" si="58"/>
        <v>0</v>
      </c>
      <c r="J461" s="1">
        <f t="shared" si="59"/>
        <v>10.681958618256022</v>
      </c>
      <c r="K461" s="1">
        <f t="shared" si="60"/>
        <v>10.681958618256022</v>
      </c>
      <c r="L461" s="1">
        <f t="shared" si="61"/>
        <v>9879527.8326298203</v>
      </c>
      <c r="M461" s="1">
        <f t="shared" si="62"/>
        <v>-12415273.309671471</v>
      </c>
    </row>
    <row r="462" spans="1:13" x14ac:dyDescent="0.25">
      <c r="A462">
        <f t="shared" si="63"/>
        <v>375</v>
      </c>
      <c r="B462" s="1">
        <f>A462/7</f>
        <v>53.571428571428569</v>
      </c>
      <c r="C462">
        <v>0.6</v>
      </c>
      <c r="D462">
        <v>1</v>
      </c>
      <c r="E462" s="1">
        <f t="shared" si="56"/>
        <v>1.2566666666666666</v>
      </c>
      <c r="F462">
        <v>1</v>
      </c>
      <c r="G462">
        <f>1</f>
        <v>1</v>
      </c>
      <c r="H462" s="1">
        <f t="shared" si="57"/>
        <v>0</v>
      </c>
      <c r="I462" s="1">
        <f t="shared" si="58"/>
        <v>0</v>
      </c>
      <c r="J462" s="1">
        <f t="shared" si="59"/>
        <v>10.681958618256022</v>
      </c>
      <c r="K462" s="1">
        <f t="shared" si="60"/>
        <v>10.681958618256022</v>
      </c>
      <c r="L462" s="1">
        <f t="shared" si="61"/>
        <v>9173847.2731562611</v>
      </c>
      <c r="M462" s="1">
        <f t="shared" si="62"/>
        <v>-11528468.073266366</v>
      </c>
    </row>
    <row r="463" spans="1:13" x14ac:dyDescent="0.25">
      <c r="A463">
        <f t="shared" si="63"/>
        <v>375</v>
      </c>
      <c r="B463" s="1">
        <f>A463/7.5</f>
        <v>50</v>
      </c>
      <c r="C463">
        <v>0.6</v>
      </c>
      <c r="D463">
        <v>1</v>
      </c>
      <c r="E463" s="1">
        <f t="shared" si="56"/>
        <v>1.2566666666666666</v>
      </c>
      <c r="F463">
        <v>1</v>
      </c>
      <c r="G463">
        <f>1</f>
        <v>1</v>
      </c>
      <c r="H463" s="1">
        <f t="shared" si="57"/>
        <v>0</v>
      </c>
      <c r="I463" s="1">
        <f t="shared" si="58"/>
        <v>0</v>
      </c>
      <c r="J463" s="1">
        <f t="shared" si="59"/>
        <v>10.681958618256022</v>
      </c>
      <c r="K463" s="1">
        <f t="shared" si="60"/>
        <v>10.681958618256022</v>
      </c>
      <c r="L463" s="1">
        <f t="shared" si="61"/>
        <v>8562257.4549458455</v>
      </c>
      <c r="M463" s="1">
        <f t="shared" si="62"/>
        <v>-10759903.535048608</v>
      </c>
    </row>
    <row r="464" spans="1:13" x14ac:dyDescent="0.25">
      <c r="A464">
        <f t="shared" si="63"/>
        <v>375</v>
      </c>
      <c r="B464" s="1">
        <f>A464/5</f>
        <v>75</v>
      </c>
      <c r="C464">
        <v>0.7</v>
      </c>
      <c r="D464">
        <v>1</v>
      </c>
      <c r="E464" s="1">
        <f t="shared" si="56"/>
        <v>1.1599999999999999</v>
      </c>
      <c r="F464">
        <v>1</v>
      </c>
      <c r="G464">
        <f>1</f>
        <v>1</v>
      </c>
      <c r="H464" s="1">
        <f t="shared" si="57"/>
        <v>0</v>
      </c>
      <c r="I464" s="1">
        <f t="shared" si="58"/>
        <v>0</v>
      </c>
      <c r="J464" s="1">
        <f t="shared" si="59"/>
        <v>10.681958618256022</v>
      </c>
      <c r="K464" s="1">
        <f t="shared" si="60"/>
        <v>10.681958618256022</v>
      </c>
      <c r="L464" s="1">
        <f t="shared" si="61"/>
        <v>14983950.546155227</v>
      </c>
      <c r="M464" s="1">
        <f t="shared" si="62"/>
        <v>-17381382.633540057</v>
      </c>
    </row>
    <row r="465" spans="1:13" x14ac:dyDescent="0.25">
      <c r="A465">
        <f t="shared" si="63"/>
        <v>375</v>
      </c>
      <c r="B465" s="1">
        <f>A465/5.5</f>
        <v>68.181818181818187</v>
      </c>
      <c r="C465">
        <v>0.7</v>
      </c>
      <c r="D465">
        <v>1</v>
      </c>
      <c r="E465" s="1">
        <f t="shared" si="56"/>
        <v>1.1599999999999999</v>
      </c>
      <c r="F465">
        <v>1</v>
      </c>
      <c r="G465">
        <f>1</f>
        <v>1</v>
      </c>
      <c r="H465" s="1">
        <f t="shared" si="57"/>
        <v>0</v>
      </c>
      <c r="I465" s="1">
        <f t="shared" si="58"/>
        <v>0</v>
      </c>
      <c r="J465" s="1">
        <f t="shared" si="59"/>
        <v>10.681958618256022</v>
      </c>
      <c r="K465" s="1">
        <f t="shared" si="60"/>
        <v>10.681958618256022</v>
      </c>
      <c r="L465" s="1">
        <f t="shared" si="61"/>
        <v>13621773.22377748</v>
      </c>
      <c r="M465" s="1">
        <f t="shared" si="62"/>
        <v>-15801256.939581871</v>
      </c>
    </row>
    <row r="466" spans="1:13" x14ac:dyDescent="0.25">
      <c r="A466">
        <f t="shared" si="63"/>
        <v>375</v>
      </c>
      <c r="B466" s="1">
        <f>A466/6</f>
        <v>62.5</v>
      </c>
      <c r="C466">
        <v>0.7</v>
      </c>
      <c r="D466">
        <v>1</v>
      </c>
      <c r="E466" s="1">
        <f t="shared" si="56"/>
        <v>1.1599999999999999</v>
      </c>
      <c r="F466">
        <v>1</v>
      </c>
      <c r="G466">
        <f>1</f>
        <v>1</v>
      </c>
      <c r="H466" s="1">
        <f t="shared" si="57"/>
        <v>0</v>
      </c>
      <c r="I466" s="1">
        <f t="shared" si="58"/>
        <v>0</v>
      </c>
      <c r="J466" s="1">
        <f t="shared" si="59"/>
        <v>10.681958618256022</v>
      </c>
      <c r="K466" s="1">
        <f t="shared" si="60"/>
        <v>10.681958618256022</v>
      </c>
      <c r="L466" s="1">
        <f t="shared" si="61"/>
        <v>12486625.455129357</v>
      </c>
      <c r="M466" s="1">
        <f t="shared" si="62"/>
        <v>-14484485.527950047</v>
      </c>
    </row>
    <row r="467" spans="1:13" x14ac:dyDescent="0.25">
      <c r="A467">
        <f t="shared" si="63"/>
        <v>375</v>
      </c>
      <c r="B467" s="1">
        <f>A467/6.5</f>
        <v>57.692307692307693</v>
      </c>
      <c r="C467">
        <v>0.7</v>
      </c>
      <c r="D467">
        <v>1</v>
      </c>
      <c r="E467" s="1">
        <f t="shared" si="56"/>
        <v>1.1599999999999999</v>
      </c>
      <c r="F467">
        <v>1</v>
      </c>
      <c r="G467">
        <f>1</f>
        <v>1</v>
      </c>
      <c r="H467" s="1">
        <f t="shared" si="57"/>
        <v>0</v>
      </c>
      <c r="I467" s="1">
        <f t="shared" si="58"/>
        <v>0</v>
      </c>
      <c r="J467" s="1">
        <f t="shared" si="59"/>
        <v>10.681958618256022</v>
      </c>
      <c r="K467" s="1">
        <f t="shared" si="60"/>
        <v>10.681958618256022</v>
      </c>
      <c r="L467" s="1">
        <f t="shared" si="61"/>
        <v>11526115.804734791</v>
      </c>
      <c r="M467" s="1">
        <f t="shared" si="62"/>
        <v>-13370294.333492352</v>
      </c>
    </row>
    <row r="468" spans="1:13" x14ac:dyDescent="0.25">
      <c r="A468">
        <f t="shared" si="63"/>
        <v>375</v>
      </c>
      <c r="B468" s="1">
        <f>A468/7</f>
        <v>53.571428571428569</v>
      </c>
      <c r="C468">
        <v>0.7</v>
      </c>
      <c r="D468">
        <v>1</v>
      </c>
      <c r="E468" s="1">
        <f t="shared" si="56"/>
        <v>1.1599999999999999</v>
      </c>
      <c r="F468">
        <v>1</v>
      </c>
      <c r="G468">
        <f>1</f>
        <v>1</v>
      </c>
      <c r="H468" s="1">
        <f t="shared" si="57"/>
        <v>0</v>
      </c>
      <c r="I468" s="1">
        <f t="shared" si="58"/>
        <v>0</v>
      </c>
      <c r="J468" s="1">
        <f t="shared" si="59"/>
        <v>10.681958618256022</v>
      </c>
      <c r="K468" s="1">
        <f t="shared" si="60"/>
        <v>10.681958618256022</v>
      </c>
      <c r="L468" s="1">
        <f t="shared" si="61"/>
        <v>10702821.818682306</v>
      </c>
      <c r="M468" s="1">
        <f t="shared" si="62"/>
        <v>-12415273.309671469</v>
      </c>
    </row>
    <row r="469" spans="1:13" x14ac:dyDescent="0.25">
      <c r="A469">
        <f t="shared" si="63"/>
        <v>375</v>
      </c>
      <c r="B469" s="1">
        <f>A469/7.5</f>
        <v>50</v>
      </c>
      <c r="C469">
        <v>0.7</v>
      </c>
      <c r="D469">
        <v>1</v>
      </c>
      <c r="E469" s="1">
        <f t="shared" si="56"/>
        <v>1.1599999999999999</v>
      </c>
      <c r="F469">
        <v>1</v>
      </c>
      <c r="G469">
        <f>1</f>
        <v>1</v>
      </c>
      <c r="H469" s="1">
        <f t="shared" si="57"/>
        <v>0</v>
      </c>
      <c r="I469" s="1">
        <f t="shared" si="58"/>
        <v>0</v>
      </c>
      <c r="J469" s="1">
        <f t="shared" si="59"/>
        <v>10.681958618256022</v>
      </c>
      <c r="K469" s="1">
        <f t="shared" si="60"/>
        <v>10.681958618256022</v>
      </c>
      <c r="L469" s="1">
        <f t="shared" si="61"/>
        <v>9989300.3641034849</v>
      </c>
      <c r="M469" s="1">
        <f t="shared" si="62"/>
        <v>-11587588.422360038</v>
      </c>
    </row>
    <row r="470" spans="1:13" x14ac:dyDescent="0.25">
      <c r="A470">
        <f t="shared" si="63"/>
        <v>375</v>
      </c>
      <c r="B470" s="1">
        <f>A470/5</f>
        <v>75</v>
      </c>
      <c r="C470">
        <v>0.8</v>
      </c>
      <c r="D470">
        <v>1</v>
      </c>
      <c r="E470" s="1">
        <f t="shared" si="56"/>
        <v>1.0874999999999997</v>
      </c>
      <c r="F470">
        <v>1</v>
      </c>
      <c r="G470">
        <f>1</f>
        <v>1</v>
      </c>
      <c r="H470" s="1">
        <f t="shared" si="57"/>
        <v>0</v>
      </c>
      <c r="I470" s="1">
        <f t="shared" si="58"/>
        <v>0</v>
      </c>
      <c r="J470" s="1">
        <f t="shared" si="59"/>
        <v>10.681958618256022</v>
      </c>
      <c r="K470" s="1">
        <f t="shared" si="60"/>
        <v>10.681958618256022</v>
      </c>
      <c r="L470" s="1">
        <f t="shared" si="61"/>
        <v>17124514.909891691</v>
      </c>
      <c r="M470" s="1">
        <f t="shared" si="62"/>
        <v>-18622909.964507204</v>
      </c>
    </row>
    <row r="471" spans="1:13" x14ac:dyDescent="0.25">
      <c r="A471">
        <f t="shared" si="63"/>
        <v>375</v>
      </c>
      <c r="B471" s="1">
        <f>A471/5.5</f>
        <v>68.181818181818187</v>
      </c>
      <c r="C471">
        <v>0.8</v>
      </c>
      <c r="D471">
        <v>1</v>
      </c>
      <c r="E471" s="1">
        <f t="shared" si="56"/>
        <v>1.0874999999999997</v>
      </c>
      <c r="F471">
        <v>1</v>
      </c>
      <c r="G471">
        <f>1</f>
        <v>1</v>
      </c>
      <c r="H471" s="1">
        <f t="shared" si="57"/>
        <v>0</v>
      </c>
      <c r="I471" s="1">
        <f t="shared" si="58"/>
        <v>0</v>
      </c>
      <c r="J471" s="1">
        <f t="shared" si="59"/>
        <v>10.681958618256022</v>
      </c>
      <c r="K471" s="1">
        <f t="shared" si="60"/>
        <v>10.681958618256022</v>
      </c>
      <c r="L471" s="1">
        <f t="shared" si="61"/>
        <v>15567740.827174265</v>
      </c>
      <c r="M471" s="1">
        <f t="shared" si="62"/>
        <v>-16929918.149552006</v>
      </c>
    </row>
    <row r="472" spans="1:13" x14ac:dyDescent="0.25">
      <c r="A472">
        <f t="shared" si="63"/>
        <v>375</v>
      </c>
      <c r="B472" s="1">
        <f>A472/6</f>
        <v>62.5</v>
      </c>
      <c r="C472">
        <v>0.8</v>
      </c>
      <c r="D472">
        <v>1</v>
      </c>
      <c r="E472" s="1">
        <f t="shared" si="56"/>
        <v>1.0874999999999997</v>
      </c>
      <c r="F472">
        <v>1</v>
      </c>
      <c r="G472">
        <f>1</f>
        <v>1</v>
      </c>
      <c r="H472" s="1">
        <f t="shared" si="57"/>
        <v>0</v>
      </c>
      <c r="I472" s="1">
        <f t="shared" si="58"/>
        <v>0</v>
      </c>
      <c r="J472" s="1">
        <f t="shared" si="59"/>
        <v>10.681958618256022</v>
      </c>
      <c r="K472" s="1">
        <f t="shared" si="60"/>
        <v>10.681958618256022</v>
      </c>
      <c r="L472" s="1">
        <f t="shared" si="61"/>
        <v>14270429.09157641</v>
      </c>
      <c r="M472" s="1">
        <f t="shared" si="62"/>
        <v>-15519091.637089336</v>
      </c>
    </row>
    <row r="473" spans="1:13" x14ac:dyDescent="0.25">
      <c r="A473">
        <f t="shared" si="63"/>
        <v>375</v>
      </c>
      <c r="B473" s="1">
        <f>A473/6.5</f>
        <v>57.692307692307693</v>
      </c>
      <c r="C473">
        <v>0.8</v>
      </c>
      <c r="D473">
        <v>1</v>
      </c>
      <c r="E473" s="1">
        <f t="shared" si="56"/>
        <v>1.0874999999999997</v>
      </c>
      <c r="F473">
        <v>1</v>
      </c>
      <c r="G473">
        <f>1</f>
        <v>1</v>
      </c>
      <c r="H473" s="1">
        <f t="shared" si="57"/>
        <v>0</v>
      </c>
      <c r="I473" s="1">
        <f t="shared" si="58"/>
        <v>0</v>
      </c>
      <c r="J473" s="1">
        <f t="shared" si="59"/>
        <v>10.681958618256022</v>
      </c>
      <c r="K473" s="1">
        <f t="shared" si="60"/>
        <v>10.681958618256022</v>
      </c>
      <c r="L473" s="1">
        <f t="shared" si="61"/>
        <v>13172703.776839763</v>
      </c>
      <c r="M473" s="1">
        <f t="shared" si="62"/>
        <v>-14325315.357313234</v>
      </c>
    </row>
    <row r="474" spans="1:13" x14ac:dyDescent="0.25">
      <c r="A474">
        <f t="shared" si="63"/>
        <v>375</v>
      </c>
      <c r="B474" s="1">
        <f>A474/7</f>
        <v>53.571428571428569</v>
      </c>
      <c r="C474">
        <v>0.8</v>
      </c>
      <c r="D474">
        <v>1</v>
      </c>
      <c r="E474" s="1">
        <f t="shared" si="56"/>
        <v>1.0874999999999997</v>
      </c>
      <c r="F474">
        <v>1</v>
      </c>
      <c r="G474">
        <f>1</f>
        <v>1</v>
      </c>
      <c r="H474" s="1">
        <f t="shared" si="57"/>
        <v>0</v>
      </c>
      <c r="I474" s="1">
        <f t="shared" si="58"/>
        <v>0</v>
      </c>
      <c r="J474" s="1">
        <f t="shared" si="59"/>
        <v>10.681958618256022</v>
      </c>
      <c r="K474" s="1">
        <f t="shared" si="60"/>
        <v>10.681958618256022</v>
      </c>
      <c r="L474" s="1">
        <f t="shared" si="61"/>
        <v>12231796.36420835</v>
      </c>
      <c r="M474" s="1">
        <f t="shared" si="62"/>
        <v>-13302078.546076573</v>
      </c>
    </row>
    <row r="475" spans="1:13" x14ac:dyDescent="0.25">
      <c r="A475">
        <f t="shared" si="63"/>
        <v>375</v>
      </c>
      <c r="B475" s="1">
        <f>A475/7.5</f>
        <v>50</v>
      </c>
      <c r="C475">
        <v>0.8</v>
      </c>
      <c r="D475">
        <v>1</v>
      </c>
      <c r="E475" s="1">
        <f t="shared" si="56"/>
        <v>1.0874999999999997</v>
      </c>
      <c r="F475">
        <v>1</v>
      </c>
      <c r="G475">
        <f>1</f>
        <v>1</v>
      </c>
      <c r="H475" s="1">
        <f t="shared" si="57"/>
        <v>0</v>
      </c>
      <c r="I475" s="1">
        <f t="shared" si="58"/>
        <v>0</v>
      </c>
      <c r="J475" s="1">
        <f t="shared" si="59"/>
        <v>10.681958618256022</v>
      </c>
      <c r="K475" s="1">
        <f t="shared" si="60"/>
        <v>10.681958618256022</v>
      </c>
      <c r="L475" s="1">
        <f t="shared" si="61"/>
        <v>11416343.273261128</v>
      </c>
      <c r="M475" s="1">
        <f t="shared" si="62"/>
        <v>-12415273.309671469</v>
      </c>
    </row>
    <row r="476" spans="1:13" x14ac:dyDescent="0.25">
      <c r="A476">
        <f t="shared" si="63"/>
        <v>375</v>
      </c>
      <c r="B476" s="1">
        <f>A476/5</f>
        <v>75</v>
      </c>
      <c r="C476">
        <v>0.9</v>
      </c>
      <c r="D476">
        <v>1</v>
      </c>
      <c r="E476" s="1">
        <f t="shared" si="56"/>
        <v>1.0311111111111111</v>
      </c>
      <c r="F476">
        <v>1</v>
      </c>
      <c r="G476">
        <f>1</f>
        <v>1</v>
      </c>
      <c r="H476" s="1">
        <f t="shared" si="57"/>
        <v>0</v>
      </c>
      <c r="I476" s="1">
        <f t="shared" si="58"/>
        <v>0</v>
      </c>
      <c r="J476" s="1">
        <f t="shared" si="59"/>
        <v>10.681958618256022</v>
      </c>
      <c r="K476" s="1">
        <f t="shared" si="60"/>
        <v>10.681958618256022</v>
      </c>
      <c r="L476" s="1">
        <f t="shared" si="61"/>
        <v>19265079.273628149</v>
      </c>
      <c r="M476" s="1">
        <f t="shared" si="62"/>
        <v>-19864437.295474358</v>
      </c>
    </row>
    <row r="477" spans="1:13" x14ac:dyDescent="0.25">
      <c r="A477">
        <f t="shared" si="63"/>
        <v>375</v>
      </c>
      <c r="B477" s="1">
        <f>A477/5.5</f>
        <v>68.181818181818187</v>
      </c>
      <c r="C477">
        <v>0.9</v>
      </c>
      <c r="D477">
        <v>1</v>
      </c>
      <c r="E477" s="1">
        <f t="shared" si="56"/>
        <v>1.0311111111111111</v>
      </c>
      <c r="F477">
        <v>1</v>
      </c>
      <c r="G477">
        <f>1</f>
        <v>1</v>
      </c>
      <c r="H477" s="1">
        <f t="shared" si="57"/>
        <v>0</v>
      </c>
      <c r="I477" s="1">
        <f t="shared" si="58"/>
        <v>0</v>
      </c>
      <c r="J477" s="1">
        <f t="shared" si="59"/>
        <v>10.681958618256022</v>
      </c>
      <c r="K477" s="1">
        <f t="shared" si="60"/>
        <v>10.681958618256022</v>
      </c>
      <c r="L477" s="1">
        <f t="shared" si="61"/>
        <v>17513708.430571049</v>
      </c>
      <c r="M477" s="1">
        <f t="shared" si="62"/>
        <v>-18058579.359522145</v>
      </c>
    </row>
    <row r="478" spans="1:13" x14ac:dyDescent="0.25">
      <c r="A478">
        <f t="shared" si="63"/>
        <v>375</v>
      </c>
      <c r="B478" s="1">
        <f>A478/6</f>
        <v>62.5</v>
      </c>
      <c r="C478">
        <v>0.9</v>
      </c>
      <c r="D478">
        <v>1</v>
      </c>
      <c r="E478" s="1">
        <f t="shared" si="56"/>
        <v>1.0311111111111111</v>
      </c>
      <c r="F478">
        <v>1</v>
      </c>
      <c r="G478">
        <f>1</f>
        <v>1</v>
      </c>
      <c r="H478" s="1">
        <f t="shared" si="57"/>
        <v>0</v>
      </c>
      <c r="I478" s="1">
        <f t="shared" si="58"/>
        <v>0</v>
      </c>
      <c r="J478" s="1">
        <f t="shared" si="59"/>
        <v>10.681958618256022</v>
      </c>
      <c r="K478" s="1">
        <f t="shared" si="60"/>
        <v>10.681958618256022</v>
      </c>
      <c r="L478" s="1">
        <f t="shared" si="61"/>
        <v>16054232.72802346</v>
      </c>
      <c r="M478" s="1">
        <f t="shared" si="62"/>
        <v>-16553697.746228633</v>
      </c>
    </row>
    <row r="479" spans="1:13" x14ac:dyDescent="0.25">
      <c r="A479">
        <f t="shared" si="63"/>
        <v>375</v>
      </c>
      <c r="B479" s="1">
        <f>A479/6.5</f>
        <v>57.692307692307693</v>
      </c>
      <c r="C479">
        <v>0.9</v>
      </c>
      <c r="D479">
        <v>1</v>
      </c>
      <c r="E479" s="1">
        <f t="shared" si="56"/>
        <v>1.0311111111111111</v>
      </c>
      <c r="F479">
        <v>1</v>
      </c>
      <c r="G479">
        <f>1</f>
        <v>1</v>
      </c>
      <c r="H479" s="1">
        <f t="shared" si="57"/>
        <v>0</v>
      </c>
      <c r="I479" s="1">
        <f t="shared" si="58"/>
        <v>0</v>
      </c>
      <c r="J479" s="1">
        <f t="shared" si="59"/>
        <v>10.681958618256022</v>
      </c>
      <c r="K479" s="1">
        <f t="shared" si="60"/>
        <v>10.681958618256022</v>
      </c>
      <c r="L479" s="1">
        <f t="shared" si="61"/>
        <v>14819291.748944731</v>
      </c>
      <c r="M479" s="1">
        <f t="shared" si="62"/>
        <v>-15280336.381134124</v>
      </c>
    </row>
    <row r="480" spans="1:13" x14ac:dyDescent="0.25">
      <c r="A480">
        <f t="shared" si="63"/>
        <v>375</v>
      </c>
      <c r="B480" s="1">
        <f>A480/7</f>
        <v>53.571428571428569</v>
      </c>
      <c r="C480">
        <v>0.9</v>
      </c>
      <c r="D480">
        <v>1</v>
      </c>
      <c r="E480" s="1">
        <f t="shared" si="56"/>
        <v>1.0311111111111111</v>
      </c>
      <c r="F480">
        <v>1</v>
      </c>
      <c r="G480">
        <f>1</f>
        <v>1</v>
      </c>
      <c r="H480" s="1">
        <f t="shared" si="57"/>
        <v>0</v>
      </c>
      <c r="I480" s="1">
        <f t="shared" si="58"/>
        <v>0</v>
      </c>
      <c r="J480" s="1">
        <f t="shared" si="59"/>
        <v>10.681958618256022</v>
      </c>
      <c r="K480" s="1">
        <f t="shared" si="60"/>
        <v>10.681958618256022</v>
      </c>
      <c r="L480" s="1">
        <f t="shared" si="61"/>
        <v>13760770.909734394</v>
      </c>
      <c r="M480" s="1">
        <f t="shared" si="62"/>
        <v>-14188883.782481685</v>
      </c>
    </row>
    <row r="481" spans="1:13" x14ac:dyDescent="0.25">
      <c r="A481">
        <f t="shared" si="63"/>
        <v>375</v>
      </c>
      <c r="B481" s="1">
        <f>A481/7.5</f>
        <v>50</v>
      </c>
      <c r="C481">
        <v>0.9</v>
      </c>
      <c r="D481">
        <v>1</v>
      </c>
      <c r="E481" s="1">
        <f t="shared" si="56"/>
        <v>1.0311111111111111</v>
      </c>
      <c r="F481">
        <v>1</v>
      </c>
      <c r="G481">
        <f>1</f>
        <v>1</v>
      </c>
      <c r="H481" s="1">
        <f t="shared" si="57"/>
        <v>0</v>
      </c>
      <c r="I481" s="1">
        <f t="shared" si="58"/>
        <v>0</v>
      </c>
      <c r="J481" s="1">
        <f t="shared" si="59"/>
        <v>10.681958618256022</v>
      </c>
      <c r="K481" s="1">
        <f t="shared" si="60"/>
        <v>10.681958618256022</v>
      </c>
      <c r="L481" s="1">
        <f t="shared" si="61"/>
        <v>12843386.182418767</v>
      </c>
      <c r="M481" s="1">
        <f t="shared" si="62"/>
        <v>-13242958.196982905</v>
      </c>
    </row>
    <row r="482" spans="1:13" x14ac:dyDescent="0.25">
      <c r="A482">
        <f t="shared" si="63"/>
        <v>390</v>
      </c>
      <c r="B482" s="1">
        <f>A482/5</f>
        <v>78</v>
      </c>
      <c r="C482">
        <v>0.6</v>
      </c>
      <c r="D482">
        <v>1</v>
      </c>
      <c r="E482" s="1">
        <f t="shared" si="56"/>
        <v>1.2566666666666666</v>
      </c>
      <c r="F482">
        <v>1</v>
      </c>
      <c r="G482">
        <f>1</f>
        <v>1</v>
      </c>
      <c r="H482" s="1">
        <f t="shared" si="57"/>
        <v>0</v>
      </c>
      <c r="I482" s="1">
        <f t="shared" si="58"/>
        <v>0</v>
      </c>
      <c r="J482" s="1">
        <f t="shared" si="59"/>
        <v>10.612293925468181</v>
      </c>
      <c r="K482" s="1">
        <f t="shared" si="60"/>
        <v>10.612293925468181</v>
      </c>
      <c r="L482" s="1">
        <f t="shared" si="61"/>
        <v>14352843.124718515</v>
      </c>
      <c r="M482" s="1">
        <f t="shared" si="62"/>
        <v>-18036739.526729595</v>
      </c>
    </row>
    <row r="483" spans="1:13" x14ac:dyDescent="0.25">
      <c r="A483">
        <f t="shared" si="63"/>
        <v>390</v>
      </c>
      <c r="B483" s="1">
        <f>A483/5.5</f>
        <v>70.909090909090907</v>
      </c>
      <c r="C483">
        <v>0.6</v>
      </c>
      <c r="D483">
        <v>1</v>
      </c>
      <c r="E483" s="1">
        <f t="shared" si="56"/>
        <v>1.2566666666666666</v>
      </c>
      <c r="F483">
        <v>1</v>
      </c>
      <c r="G483">
        <f>1</f>
        <v>1</v>
      </c>
      <c r="H483" s="1">
        <f t="shared" si="57"/>
        <v>0</v>
      </c>
      <c r="I483" s="1">
        <f t="shared" si="58"/>
        <v>0</v>
      </c>
      <c r="J483" s="1">
        <f t="shared" si="59"/>
        <v>10.612293925468181</v>
      </c>
      <c r="K483" s="1">
        <f t="shared" si="60"/>
        <v>10.612293925468181</v>
      </c>
      <c r="L483" s="1">
        <f t="shared" si="61"/>
        <v>13048039.204289557</v>
      </c>
      <c r="M483" s="1">
        <f t="shared" si="62"/>
        <v>-16397035.933390541</v>
      </c>
    </row>
    <row r="484" spans="1:13" x14ac:dyDescent="0.25">
      <c r="A484">
        <f t="shared" si="63"/>
        <v>390</v>
      </c>
      <c r="B484" s="1">
        <f>A484/6</f>
        <v>65</v>
      </c>
      <c r="C484">
        <v>0.6</v>
      </c>
      <c r="D484">
        <v>1</v>
      </c>
      <c r="E484" s="1">
        <f t="shared" si="56"/>
        <v>1.2566666666666666</v>
      </c>
      <c r="F484">
        <v>1</v>
      </c>
      <c r="G484">
        <f>1</f>
        <v>1</v>
      </c>
      <c r="H484" s="1">
        <f t="shared" si="57"/>
        <v>0</v>
      </c>
      <c r="I484" s="1">
        <f t="shared" si="58"/>
        <v>0</v>
      </c>
      <c r="J484" s="1">
        <f t="shared" si="59"/>
        <v>10.612293925468181</v>
      </c>
      <c r="K484" s="1">
        <f t="shared" si="60"/>
        <v>10.612293925468181</v>
      </c>
      <c r="L484" s="1">
        <f t="shared" si="61"/>
        <v>11960702.603932096</v>
      </c>
      <c r="M484" s="1">
        <f t="shared" si="62"/>
        <v>-15030616.272274664</v>
      </c>
    </row>
    <row r="485" spans="1:13" x14ac:dyDescent="0.25">
      <c r="A485">
        <f t="shared" si="63"/>
        <v>390</v>
      </c>
      <c r="B485" s="1">
        <f>A485/6.5</f>
        <v>60</v>
      </c>
      <c r="C485">
        <v>0.6</v>
      </c>
      <c r="D485">
        <v>1</v>
      </c>
      <c r="E485" s="1">
        <f t="shared" si="56"/>
        <v>1.2566666666666666</v>
      </c>
      <c r="F485">
        <v>1</v>
      </c>
      <c r="G485">
        <f>1</f>
        <v>1</v>
      </c>
      <c r="H485" s="1">
        <f t="shared" si="57"/>
        <v>0</v>
      </c>
      <c r="I485" s="1">
        <f t="shared" si="58"/>
        <v>0</v>
      </c>
      <c r="J485" s="1">
        <f t="shared" si="59"/>
        <v>10.612293925468181</v>
      </c>
      <c r="K485" s="1">
        <f t="shared" si="60"/>
        <v>10.612293925468181</v>
      </c>
      <c r="L485" s="1">
        <f t="shared" si="61"/>
        <v>11040648.557475779</v>
      </c>
      <c r="M485" s="1">
        <f t="shared" si="62"/>
        <v>-13874415.020561228</v>
      </c>
    </row>
    <row r="486" spans="1:13" x14ac:dyDescent="0.25">
      <c r="A486">
        <f t="shared" si="63"/>
        <v>390</v>
      </c>
      <c r="B486" s="1">
        <f>A486/7</f>
        <v>55.714285714285715</v>
      </c>
      <c r="C486">
        <v>0.6</v>
      </c>
      <c r="D486">
        <v>1</v>
      </c>
      <c r="E486" s="1">
        <f t="shared" si="56"/>
        <v>1.2566666666666666</v>
      </c>
      <c r="F486">
        <v>1</v>
      </c>
      <c r="G486">
        <f>1</f>
        <v>1</v>
      </c>
      <c r="H486" s="1">
        <f t="shared" si="57"/>
        <v>0</v>
      </c>
      <c r="I486" s="1">
        <f t="shared" si="58"/>
        <v>0</v>
      </c>
      <c r="J486" s="1">
        <f t="shared" si="59"/>
        <v>10.612293925468181</v>
      </c>
      <c r="K486" s="1">
        <f t="shared" si="60"/>
        <v>10.612293925468181</v>
      </c>
      <c r="L486" s="1">
        <f t="shared" si="61"/>
        <v>10252030.803370368</v>
      </c>
      <c r="M486" s="1">
        <f t="shared" si="62"/>
        <v>-12883385.376235427</v>
      </c>
    </row>
    <row r="487" spans="1:13" x14ac:dyDescent="0.25">
      <c r="A487">
        <f t="shared" si="63"/>
        <v>390</v>
      </c>
      <c r="B487" s="1">
        <f>A487/7.5</f>
        <v>52</v>
      </c>
      <c r="C487">
        <v>0.6</v>
      </c>
      <c r="D487">
        <v>1</v>
      </c>
      <c r="E487" s="1">
        <f t="shared" si="56"/>
        <v>1.2566666666666666</v>
      </c>
      <c r="F487">
        <v>1</v>
      </c>
      <c r="G487">
        <f>1</f>
        <v>1</v>
      </c>
      <c r="H487" s="1">
        <f t="shared" si="57"/>
        <v>0</v>
      </c>
      <c r="I487" s="1">
        <f t="shared" si="58"/>
        <v>0</v>
      </c>
      <c r="J487" s="1">
        <f t="shared" si="59"/>
        <v>10.612293925468181</v>
      </c>
      <c r="K487" s="1">
        <f t="shared" si="60"/>
        <v>10.612293925468181</v>
      </c>
      <c r="L487" s="1">
        <f t="shared" si="61"/>
        <v>9568562.0831456762</v>
      </c>
      <c r="M487" s="1">
        <f t="shared" si="62"/>
        <v>-12024493.017819731</v>
      </c>
    </row>
    <row r="488" spans="1:13" x14ac:dyDescent="0.25">
      <c r="A488">
        <f t="shared" si="63"/>
        <v>390</v>
      </c>
      <c r="B488" s="1">
        <f>A488/5</f>
        <v>78</v>
      </c>
      <c r="C488">
        <v>0.7</v>
      </c>
      <c r="D488">
        <v>1</v>
      </c>
      <c r="E488" s="1">
        <f t="shared" si="56"/>
        <v>1.1599999999999999</v>
      </c>
      <c r="F488">
        <v>1</v>
      </c>
      <c r="G488">
        <f>1</f>
        <v>1</v>
      </c>
      <c r="H488" s="1">
        <f t="shared" si="57"/>
        <v>0</v>
      </c>
      <c r="I488" s="1">
        <f t="shared" si="58"/>
        <v>0</v>
      </c>
      <c r="J488" s="1">
        <f t="shared" si="59"/>
        <v>10.612293925468181</v>
      </c>
      <c r="K488" s="1">
        <f t="shared" si="60"/>
        <v>10.612293925468181</v>
      </c>
      <c r="L488" s="1">
        <f t="shared" si="61"/>
        <v>16744983.645504933</v>
      </c>
      <c r="M488" s="1">
        <f t="shared" si="62"/>
        <v>-19424181.028785713</v>
      </c>
    </row>
    <row r="489" spans="1:13" x14ac:dyDescent="0.25">
      <c r="A489">
        <f t="shared" si="63"/>
        <v>390</v>
      </c>
      <c r="B489" s="1">
        <f>A489/5.5</f>
        <v>70.909090909090907</v>
      </c>
      <c r="C489">
        <v>0.7</v>
      </c>
      <c r="D489">
        <v>1</v>
      </c>
      <c r="E489" s="1">
        <f t="shared" si="56"/>
        <v>1.1599999999999999</v>
      </c>
      <c r="F489">
        <v>1</v>
      </c>
      <c r="G489">
        <f>1</f>
        <v>1</v>
      </c>
      <c r="H489" s="1">
        <f t="shared" si="57"/>
        <v>0</v>
      </c>
      <c r="I489" s="1">
        <f t="shared" si="58"/>
        <v>0</v>
      </c>
      <c r="J489" s="1">
        <f t="shared" si="59"/>
        <v>10.612293925468181</v>
      </c>
      <c r="K489" s="1">
        <f t="shared" si="60"/>
        <v>10.612293925468181</v>
      </c>
      <c r="L489" s="1">
        <f t="shared" si="61"/>
        <v>15222712.405004485</v>
      </c>
      <c r="M489" s="1">
        <f t="shared" si="62"/>
        <v>-17658346.389805194</v>
      </c>
    </row>
    <row r="490" spans="1:13" x14ac:dyDescent="0.25">
      <c r="A490">
        <f t="shared" si="63"/>
        <v>390</v>
      </c>
      <c r="B490" s="1">
        <f>A490/6</f>
        <v>65</v>
      </c>
      <c r="C490">
        <v>0.7</v>
      </c>
      <c r="D490">
        <v>1</v>
      </c>
      <c r="E490" s="1">
        <f t="shared" si="56"/>
        <v>1.1599999999999999</v>
      </c>
      <c r="F490">
        <v>1</v>
      </c>
      <c r="G490">
        <f>1</f>
        <v>1</v>
      </c>
      <c r="H490" s="1">
        <f t="shared" si="57"/>
        <v>0</v>
      </c>
      <c r="I490" s="1">
        <f t="shared" si="58"/>
        <v>0</v>
      </c>
      <c r="J490" s="1">
        <f t="shared" si="59"/>
        <v>10.612293925468181</v>
      </c>
      <c r="K490" s="1">
        <f t="shared" si="60"/>
        <v>10.612293925468181</v>
      </c>
      <c r="L490" s="1">
        <f t="shared" si="61"/>
        <v>13954153.037920777</v>
      </c>
      <c r="M490" s="1">
        <f t="shared" si="62"/>
        <v>-16186817.523988096</v>
      </c>
    </row>
    <row r="491" spans="1:13" x14ac:dyDescent="0.25">
      <c r="A491">
        <f t="shared" si="63"/>
        <v>390</v>
      </c>
      <c r="B491" s="1">
        <f>A491/6.5</f>
        <v>60</v>
      </c>
      <c r="C491">
        <v>0.7</v>
      </c>
      <c r="D491">
        <v>1</v>
      </c>
      <c r="E491" s="1">
        <f t="shared" si="56"/>
        <v>1.1599999999999999</v>
      </c>
      <c r="F491">
        <v>1</v>
      </c>
      <c r="G491">
        <f>1</f>
        <v>1</v>
      </c>
      <c r="H491" s="1">
        <f t="shared" si="57"/>
        <v>0</v>
      </c>
      <c r="I491" s="1">
        <f t="shared" si="58"/>
        <v>0</v>
      </c>
      <c r="J491" s="1">
        <f t="shared" si="59"/>
        <v>10.612293925468181</v>
      </c>
      <c r="K491" s="1">
        <f t="shared" si="60"/>
        <v>10.612293925468181</v>
      </c>
      <c r="L491" s="1">
        <f t="shared" si="61"/>
        <v>12880756.650388408</v>
      </c>
      <c r="M491" s="1">
        <f t="shared" si="62"/>
        <v>-14941677.714450551</v>
      </c>
    </row>
    <row r="492" spans="1:13" x14ac:dyDescent="0.25">
      <c r="A492">
        <f t="shared" si="63"/>
        <v>390</v>
      </c>
      <c r="B492" s="1">
        <f>A492/7</f>
        <v>55.714285714285715</v>
      </c>
      <c r="C492">
        <v>0.7</v>
      </c>
      <c r="D492">
        <v>1</v>
      </c>
      <c r="E492" s="1">
        <f t="shared" si="56"/>
        <v>1.1599999999999999</v>
      </c>
      <c r="F492">
        <v>1</v>
      </c>
      <c r="G492">
        <f>1</f>
        <v>1</v>
      </c>
      <c r="H492" s="1">
        <f t="shared" si="57"/>
        <v>0</v>
      </c>
      <c r="I492" s="1">
        <f t="shared" si="58"/>
        <v>0</v>
      </c>
      <c r="J492" s="1">
        <f t="shared" si="59"/>
        <v>10.612293925468181</v>
      </c>
      <c r="K492" s="1">
        <f t="shared" si="60"/>
        <v>10.612293925468181</v>
      </c>
      <c r="L492" s="1">
        <f t="shared" si="61"/>
        <v>11960702.603932096</v>
      </c>
      <c r="M492" s="1">
        <f t="shared" si="62"/>
        <v>-13874415.020561226</v>
      </c>
    </row>
    <row r="493" spans="1:13" x14ac:dyDescent="0.25">
      <c r="A493">
        <f t="shared" si="63"/>
        <v>390</v>
      </c>
      <c r="B493" s="1">
        <f>A493/7.5</f>
        <v>52</v>
      </c>
      <c r="C493">
        <v>0.7</v>
      </c>
      <c r="D493">
        <v>1</v>
      </c>
      <c r="E493" s="1">
        <f t="shared" si="56"/>
        <v>1.1599999999999999</v>
      </c>
      <c r="F493">
        <v>1</v>
      </c>
      <c r="G493">
        <f>1</f>
        <v>1</v>
      </c>
      <c r="H493" s="1">
        <f t="shared" si="57"/>
        <v>0</v>
      </c>
      <c r="I493" s="1">
        <f t="shared" si="58"/>
        <v>0</v>
      </c>
      <c r="J493" s="1">
        <f t="shared" si="59"/>
        <v>10.612293925468181</v>
      </c>
      <c r="K493" s="1">
        <f t="shared" si="60"/>
        <v>10.612293925468181</v>
      </c>
      <c r="L493" s="1">
        <f t="shared" si="61"/>
        <v>11163322.430336623</v>
      </c>
      <c r="M493" s="1">
        <f t="shared" si="62"/>
        <v>-12949454.019190475</v>
      </c>
    </row>
    <row r="494" spans="1:13" x14ac:dyDescent="0.25">
      <c r="A494">
        <f t="shared" si="63"/>
        <v>390</v>
      </c>
      <c r="B494" s="1">
        <f>A494/5</f>
        <v>78</v>
      </c>
      <c r="C494">
        <v>0.8</v>
      </c>
      <c r="D494">
        <v>1</v>
      </c>
      <c r="E494" s="1">
        <f t="shared" si="56"/>
        <v>1.0874999999999997</v>
      </c>
      <c r="F494">
        <v>1</v>
      </c>
      <c r="G494">
        <f>1</f>
        <v>1</v>
      </c>
      <c r="H494" s="1">
        <f t="shared" si="57"/>
        <v>0</v>
      </c>
      <c r="I494" s="1">
        <f t="shared" si="58"/>
        <v>0</v>
      </c>
      <c r="J494" s="1">
        <f t="shared" si="59"/>
        <v>10.612293925468181</v>
      </c>
      <c r="K494" s="1">
        <f t="shared" si="60"/>
        <v>10.612293925468181</v>
      </c>
      <c r="L494" s="1">
        <f t="shared" si="61"/>
        <v>19137124.166291352</v>
      </c>
      <c r="M494" s="1">
        <f t="shared" si="62"/>
        <v>-20811622.530841842</v>
      </c>
    </row>
    <row r="495" spans="1:13" x14ac:dyDescent="0.25">
      <c r="A495">
        <f t="shared" si="63"/>
        <v>390</v>
      </c>
      <c r="B495" s="1">
        <f>A495/5.5</f>
        <v>70.909090909090907</v>
      </c>
      <c r="C495">
        <v>0.8</v>
      </c>
      <c r="D495">
        <v>1</v>
      </c>
      <c r="E495" s="1">
        <f t="shared" si="56"/>
        <v>1.0874999999999997</v>
      </c>
      <c r="F495">
        <v>1</v>
      </c>
      <c r="G495">
        <f>1</f>
        <v>1</v>
      </c>
      <c r="H495" s="1">
        <f t="shared" si="57"/>
        <v>0</v>
      </c>
      <c r="I495" s="1">
        <f t="shared" si="58"/>
        <v>0</v>
      </c>
      <c r="J495" s="1">
        <f t="shared" si="59"/>
        <v>10.612293925468181</v>
      </c>
      <c r="K495" s="1">
        <f t="shared" si="60"/>
        <v>10.612293925468181</v>
      </c>
      <c r="L495" s="1">
        <f t="shared" si="61"/>
        <v>17397385.605719414</v>
      </c>
      <c r="M495" s="1">
        <f t="shared" si="62"/>
        <v>-18919656.846219853</v>
      </c>
    </row>
    <row r="496" spans="1:13" x14ac:dyDescent="0.25">
      <c r="A496">
        <f t="shared" si="63"/>
        <v>390</v>
      </c>
      <c r="B496" s="1">
        <f>A496/6</f>
        <v>65</v>
      </c>
      <c r="C496">
        <v>0.8</v>
      </c>
      <c r="D496">
        <v>1</v>
      </c>
      <c r="E496" s="1">
        <f t="shared" si="56"/>
        <v>1.0874999999999997</v>
      </c>
      <c r="F496">
        <v>1</v>
      </c>
      <c r="G496">
        <f>1</f>
        <v>1</v>
      </c>
      <c r="H496" s="1">
        <f t="shared" si="57"/>
        <v>0</v>
      </c>
      <c r="I496" s="1">
        <f t="shared" si="58"/>
        <v>0</v>
      </c>
      <c r="J496" s="1">
        <f t="shared" si="59"/>
        <v>10.612293925468181</v>
      </c>
      <c r="K496" s="1">
        <f t="shared" si="60"/>
        <v>10.612293925468181</v>
      </c>
      <c r="L496" s="1">
        <f t="shared" si="61"/>
        <v>15947603.471909462</v>
      </c>
      <c r="M496" s="1">
        <f t="shared" si="62"/>
        <v>-17343018.775701534</v>
      </c>
    </row>
    <row r="497" spans="1:13" x14ac:dyDescent="0.25">
      <c r="A497">
        <f t="shared" si="63"/>
        <v>390</v>
      </c>
      <c r="B497" s="1">
        <f>A497/6.5</f>
        <v>60</v>
      </c>
      <c r="C497">
        <v>0.8</v>
      </c>
      <c r="D497">
        <v>1</v>
      </c>
      <c r="E497" s="1">
        <f t="shared" si="56"/>
        <v>1.0874999999999997</v>
      </c>
      <c r="F497">
        <v>1</v>
      </c>
      <c r="G497">
        <f>1</f>
        <v>1</v>
      </c>
      <c r="H497" s="1">
        <f t="shared" si="57"/>
        <v>0</v>
      </c>
      <c r="I497" s="1">
        <f t="shared" si="58"/>
        <v>0</v>
      </c>
      <c r="J497" s="1">
        <f t="shared" si="59"/>
        <v>10.612293925468181</v>
      </c>
      <c r="K497" s="1">
        <f t="shared" si="60"/>
        <v>10.612293925468181</v>
      </c>
      <c r="L497" s="1">
        <f t="shared" si="61"/>
        <v>14720864.743301041</v>
      </c>
      <c r="M497" s="1">
        <f t="shared" si="62"/>
        <v>-16008940.408339877</v>
      </c>
    </row>
    <row r="498" spans="1:13" x14ac:dyDescent="0.25">
      <c r="A498">
        <f t="shared" si="63"/>
        <v>390</v>
      </c>
      <c r="B498" s="1">
        <f>A498/7</f>
        <v>55.714285714285715</v>
      </c>
      <c r="C498">
        <v>0.8</v>
      </c>
      <c r="D498">
        <v>1</v>
      </c>
      <c r="E498" s="1">
        <f t="shared" si="56"/>
        <v>1.0874999999999997</v>
      </c>
      <c r="F498">
        <v>1</v>
      </c>
      <c r="G498">
        <f>1</f>
        <v>1</v>
      </c>
      <c r="H498" s="1">
        <f t="shared" si="57"/>
        <v>0</v>
      </c>
      <c r="I498" s="1">
        <f t="shared" si="58"/>
        <v>0</v>
      </c>
      <c r="J498" s="1">
        <f t="shared" si="59"/>
        <v>10.612293925468181</v>
      </c>
      <c r="K498" s="1">
        <f t="shared" si="60"/>
        <v>10.612293925468181</v>
      </c>
      <c r="L498" s="1">
        <f t="shared" si="61"/>
        <v>13669374.404493824</v>
      </c>
      <c r="M498" s="1">
        <f t="shared" si="62"/>
        <v>-14865444.66488703</v>
      </c>
    </row>
    <row r="499" spans="1:13" x14ac:dyDescent="0.25">
      <c r="A499">
        <f t="shared" si="63"/>
        <v>390</v>
      </c>
      <c r="B499" s="1">
        <f>A499/7.5</f>
        <v>52</v>
      </c>
      <c r="C499">
        <v>0.8</v>
      </c>
      <c r="D499">
        <v>1</v>
      </c>
      <c r="E499" s="1">
        <f t="shared" si="56"/>
        <v>1.0874999999999997</v>
      </c>
      <c r="F499">
        <v>1</v>
      </c>
      <c r="G499">
        <f>1</f>
        <v>1</v>
      </c>
      <c r="H499" s="1">
        <f t="shared" si="57"/>
        <v>0</v>
      </c>
      <c r="I499" s="1">
        <f t="shared" si="58"/>
        <v>0</v>
      </c>
      <c r="J499" s="1">
        <f t="shared" si="59"/>
        <v>10.612293925468181</v>
      </c>
      <c r="K499" s="1">
        <f t="shared" si="60"/>
        <v>10.612293925468181</v>
      </c>
      <c r="L499" s="1">
        <f t="shared" si="61"/>
        <v>12758082.777527571</v>
      </c>
      <c r="M499" s="1">
        <f t="shared" si="62"/>
        <v>-13874415.020561228</v>
      </c>
    </row>
    <row r="500" spans="1:13" x14ac:dyDescent="0.25">
      <c r="A500">
        <f t="shared" si="63"/>
        <v>390</v>
      </c>
      <c r="B500" s="1">
        <f>A500/5</f>
        <v>78</v>
      </c>
      <c r="C500">
        <v>0.9</v>
      </c>
      <c r="D500">
        <v>1</v>
      </c>
      <c r="E500" s="1">
        <f t="shared" si="56"/>
        <v>1.0311111111111111</v>
      </c>
      <c r="F500">
        <v>1</v>
      </c>
      <c r="G500">
        <f>1</f>
        <v>1</v>
      </c>
      <c r="H500" s="1">
        <f t="shared" si="57"/>
        <v>0</v>
      </c>
      <c r="I500" s="1">
        <f t="shared" si="58"/>
        <v>0</v>
      </c>
      <c r="J500" s="1">
        <f t="shared" si="59"/>
        <v>10.612293925468181</v>
      </c>
      <c r="K500" s="1">
        <f t="shared" si="60"/>
        <v>10.612293925468181</v>
      </c>
      <c r="L500" s="1">
        <f t="shared" si="61"/>
        <v>21529264.687077772</v>
      </c>
      <c r="M500" s="1">
        <f t="shared" si="62"/>
        <v>-22199064.032897972</v>
      </c>
    </row>
    <row r="501" spans="1:13" x14ac:dyDescent="0.25">
      <c r="A501">
        <f t="shared" si="63"/>
        <v>390</v>
      </c>
      <c r="B501" s="1">
        <f>A501/5.5</f>
        <v>70.909090909090907</v>
      </c>
      <c r="C501">
        <v>0.9</v>
      </c>
      <c r="D501">
        <v>1</v>
      </c>
      <c r="E501" s="1">
        <f t="shared" si="56"/>
        <v>1.0311111111111111</v>
      </c>
      <c r="F501">
        <v>1</v>
      </c>
      <c r="G501">
        <f>1</f>
        <v>1</v>
      </c>
      <c r="H501" s="1">
        <f t="shared" si="57"/>
        <v>0</v>
      </c>
      <c r="I501" s="1">
        <f t="shared" si="58"/>
        <v>0</v>
      </c>
      <c r="J501" s="1">
        <f t="shared" si="59"/>
        <v>10.612293925468181</v>
      </c>
      <c r="K501" s="1">
        <f t="shared" si="60"/>
        <v>10.612293925468181</v>
      </c>
      <c r="L501" s="1">
        <f t="shared" si="61"/>
        <v>19572058.806434337</v>
      </c>
      <c r="M501" s="1">
        <f t="shared" si="62"/>
        <v>-20180967.302634519</v>
      </c>
    </row>
    <row r="502" spans="1:13" x14ac:dyDescent="0.25">
      <c r="A502">
        <f t="shared" si="63"/>
        <v>390</v>
      </c>
      <c r="B502" s="1">
        <f>A502/6</f>
        <v>65</v>
      </c>
      <c r="C502">
        <v>0.9</v>
      </c>
      <c r="D502">
        <v>1</v>
      </c>
      <c r="E502" s="1">
        <f t="shared" si="56"/>
        <v>1.0311111111111111</v>
      </c>
      <c r="F502">
        <v>1</v>
      </c>
      <c r="G502">
        <f>1</f>
        <v>1</v>
      </c>
      <c r="H502" s="1">
        <f t="shared" si="57"/>
        <v>0</v>
      </c>
      <c r="I502" s="1">
        <f t="shared" si="58"/>
        <v>0</v>
      </c>
      <c r="J502" s="1">
        <f t="shared" si="59"/>
        <v>10.612293925468181</v>
      </c>
      <c r="K502" s="1">
        <f t="shared" si="60"/>
        <v>10.612293925468181</v>
      </c>
      <c r="L502" s="1">
        <f t="shared" si="61"/>
        <v>17941053.905898143</v>
      </c>
      <c r="M502" s="1">
        <f t="shared" si="62"/>
        <v>-18499220.027414974</v>
      </c>
    </row>
    <row r="503" spans="1:13" x14ac:dyDescent="0.25">
      <c r="A503">
        <f t="shared" si="63"/>
        <v>390</v>
      </c>
      <c r="B503" s="1">
        <f>A503/6.5</f>
        <v>60</v>
      </c>
      <c r="C503">
        <v>0.9</v>
      </c>
      <c r="D503">
        <v>1</v>
      </c>
      <c r="E503" s="1">
        <f t="shared" si="56"/>
        <v>1.0311111111111111</v>
      </c>
      <c r="F503">
        <v>1</v>
      </c>
      <c r="G503">
        <f>1</f>
        <v>1</v>
      </c>
      <c r="H503" s="1">
        <f t="shared" si="57"/>
        <v>0</v>
      </c>
      <c r="I503" s="1">
        <f t="shared" si="58"/>
        <v>0</v>
      </c>
      <c r="J503" s="1">
        <f t="shared" si="59"/>
        <v>10.612293925468181</v>
      </c>
      <c r="K503" s="1">
        <f t="shared" si="60"/>
        <v>10.612293925468181</v>
      </c>
      <c r="L503" s="1">
        <f t="shared" si="61"/>
        <v>16560972.836213671</v>
      </c>
      <c r="M503" s="1">
        <f t="shared" si="62"/>
        <v>-17076203.102229208</v>
      </c>
    </row>
    <row r="504" spans="1:13" x14ac:dyDescent="0.25">
      <c r="A504">
        <f t="shared" si="63"/>
        <v>390</v>
      </c>
      <c r="B504" s="1">
        <f>A504/7</f>
        <v>55.714285714285715</v>
      </c>
      <c r="C504">
        <v>0.9</v>
      </c>
      <c r="D504">
        <v>1</v>
      </c>
      <c r="E504" s="1">
        <f t="shared" si="56"/>
        <v>1.0311111111111111</v>
      </c>
      <c r="F504">
        <v>1</v>
      </c>
      <c r="G504">
        <f>1</f>
        <v>1</v>
      </c>
      <c r="H504" s="1">
        <f t="shared" si="57"/>
        <v>0</v>
      </c>
      <c r="I504" s="1">
        <f t="shared" si="58"/>
        <v>0</v>
      </c>
      <c r="J504" s="1">
        <f t="shared" si="59"/>
        <v>10.612293925468181</v>
      </c>
      <c r="K504" s="1">
        <f t="shared" si="60"/>
        <v>10.612293925468181</v>
      </c>
      <c r="L504" s="1">
        <f t="shared" si="61"/>
        <v>15378046.205055552</v>
      </c>
      <c r="M504" s="1">
        <f t="shared" si="62"/>
        <v>-15856474.309212837</v>
      </c>
    </row>
    <row r="505" spans="1:13" x14ac:dyDescent="0.25">
      <c r="A505">
        <f t="shared" si="63"/>
        <v>390</v>
      </c>
      <c r="B505" s="1">
        <f>A505/7.5</f>
        <v>52</v>
      </c>
      <c r="C505">
        <v>0.9</v>
      </c>
      <c r="D505">
        <v>1</v>
      </c>
      <c r="E505" s="1">
        <f t="shared" si="56"/>
        <v>1.0311111111111111</v>
      </c>
      <c r="F505">
        <v>1</v>
      </c>
      <c r="G505">
        <f>1</f>
        <v>1</v>
      </c>
      <c r="H505" s="1">
        <f t="shared" si="57"/>
        <v>0</v>
      </c>
      <c r="I505" s="1">
        <f t="shared" si="58"/>
        <v>0</v>
      </c>
      <c r="J505" s="1">
        <f t="shared" si="59"/>
        <v>10.612293925468181</v>
      </c>
      <c r="K505" s="1">
        <f t="shared" si="60"/>
        <v>10.612293925468181</v>
      </c>
      <c r="L505" s="1">
        <f t="shared" si="61"/>
        <v>14352843.124718515</v>
      </c>
      <c r="M505" s="1">
        <f t="shared" si="62"/>
        <v>-14799376.021931982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CSR_VBM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Ch</dc:creator>
  <cp:lastModifiedBy>Praveen Kumar Ch</cp:lastModifiedBy>
  <dcterms:created xsi:type="dcterms:W3CDTF">2025-12-22T10:18:12Z</dcterms:created>
  <dcterms:modified xsi:type="dcterms:W3CDTF">2025-12-22T11:26:51Z</dcterms:modified>
</cp:coreProperties>
</file>